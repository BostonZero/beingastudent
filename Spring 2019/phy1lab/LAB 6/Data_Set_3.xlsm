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filterPrivacy="1" codeName="ThisWorkbook" defaultThemeVersion="124226"/>
  <xr:revisionPtr revIDLastSave="603" documentId="13_ncr:1_{02192654-2D69-4F82-AA2C-E9AE2482D127}" xr6:coauthVersionLast="45" xr6:coauthVersionMax="45" xr10:uidLastSave="{758DA567-7FCA-402E-A263-93452FC5BD8B}"/>
  <bookViews>
    <workbookView xWindow="-120" yWindow="-120" windowWidth="38640" windowHeight="21840" xr2:uid="{00000000-000D-0000-FFFF-FFFF00000000}"/>
  </bookViews>
  <sheets>
    <sheet name="Sheet1" sheetId="12" r:id="rId1"/>
    <sheet name="Sheet2" sheetId="10" r:id="rId2"/>
    <sheet name="Sheet3" sheetId="11" r:id="rId3"/>
    <sheet name="Help Sheet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7" i="12" l="1"/>
  <c r="AB8" i="12" l="1"/>
  <c r="AD8" i="12"/>
  <c r="AD11" i="12" s="1"/>
  <c r="AD5" i="12"/>
  <c r="AF3" i="12" s="1"/>
  <c r="AD2" i="12"/>
  <c r="AB5" i="12"/>
  <c r="AB2" i="12"/>
  <c r="AB11" i="12" s="1"/>
  <c r="R17" i="12"/>
  <c r="S17" i="12"/>
  <c r="T17" i="12"/>
  <c r="U17" i="12"/>
  <c r="V17" i="12"/>
  <c r="W17" i="12"/>
  <c r="W16" i="12"/>
  <c r="V16" i="12"/>
  <c r="U16" i="12"/>
  <c r="T16" i="12"/>
  <c r="S16" i="12"/>
  <c r="W10" i="12"/>
  <c r="W9" i="12"/>
  <c r="W8" i="12"/>
  <c r="W7" i="12"/>
  <c r="V10" i="12"/>
  <c r="V9" i="12"/>
  <c r="V8" i="12"/>
  <c r="V7" i="12"/>
  <c r="U10" i="12"/>
  <c r="U9" i="12"/>
  <c r="U8" i="12"/>
  <c r="U7" i="12"/>
  <c r="T10" i="12"/>
  <c r="T9" i="12"/>
  <c r="T8" i="12"/>
  <c r="T7" i="12"/>
  <c r="S10" i="12"/>
  <c r="S9" i="12"/>
  <c r="S8" i="12"/>
  <c r="S7" i="12"/>
  <c r="W6" i="12"/>
  <c r="W5" i="12"/>
  <c r="W4" i="12"/>
  <c r="W3" i="12"/>
  <c r="V6" i="12"/>
  <c r="V5" i="12"/>
  <c r="V4" i="12"/>
  <c r="V3" i="12"/>
  <c r="U6" i="12"/>
  <c r="U5" i="12"/>
  <c r="U4" i="12"/>
  <c r="U3" i="12"/>
  <c r="T6" i="12"/>
  <c r="T5" i="12"/>
  <c r="T4" i="12"/>
  <c r="T3" i="12"/>
  <c r="S6" i="12"/>
  <c r="S5" i="12"/>
  <c r="S4" i="12"/>
  <c r="S3" i="12"/>
  <c r="R16" i="12"/>
  <c r="P21" i="12"/>
  <c r="P17" i="12"/>
  <c r="R10" i="12"/>
  <c r="R9" i="12"/>
  <c r="R8" i="12"/>
  <c r="R7" i="12"/>
  <c r="R6" i="12"/>
  <c r="R5" i="12"/>
  <c r="R4" i="12"/>
  <c r="R3" i="12"/>
  <c r="AE3" i="12" l="1"/>
  <c r="M18" i="12"/>
  <c r="M22" i="12" s="1"/>
  <c r="M19" i="12"/>
  <c r="M23" i="12" s="1"/>
  <c r="M20" i="12"/>
  <c r="M24" i="12" s="1"/>
  <c r="M17" i="12"/>
  <c r="M21" i="12" s="1"/>
  <c r="M9" i="12"/>
  <c r="O10" i="12"/>
  <c r="O9" i="12"/>
  <c r="O8" i="12"/>
  <c r="O7" i="12"/>
  <c r="O6" i="12"/>
  <c r="O5" i="12"/>
  <c r="O4" i="12"/>
  <c r="O3" i="12"/>
  <c r="N10" i="12"/>
  <c r="N9" i="12"/>
  <c r="N8" i="12"/>
  <c r="N7" i="12"/>
  <c r="N6" i="12"/>
  <c r="N5" i="12"/>
  <c r="N4" i="12"/>
  <c r="N3" i="12"/>
  <c r="M10" i="12"/>
  <c r="M8" i="12"/>
  <c r="M7" i="12"/>
  <c r="M6" i="12"/>
  <c r="M5" i="12"/>
  <c r="M4" i="12"/>
  <c r="M3" i="12"/>
  <c r="L10" i="12"/>
  <c r="L9" i="12"/>
  <c r="L8" i="12"/>
  <c r="L7" i="12"/>
  <c r="L6" i="12"/>
  <c r="L5" i="12"/>
  <c r="L4" i="12"/>
  <c r="L3" i="12"/>
  <c r="K10" i="12"/>
  <c r="K9" i="12"/>
  <c r="K8" i="12"/>
  <c r="K7" i="12"/>
  <c r="K6" i="12"/>
  <c r="K5" i="12"/>
  <c r="K4" i="12"/>
  <c r="K3" i="12"/>
  <c r="J10" i="12"/>
  <c r="J9" i="12"/>
  <c r="J8" i="12"/>
  <c r="J7" i="12"/>
  <c r="J6" i="12"/>
  <c r="J5" i="12"/>
  <c r="J4" i="12"/>
  <c r="J3" i="12"/>
  <c r="AE10" i="12" l="1"/>
  <c r="AE7" i="12"/>
  <c r="AC7" i="12"/>
  <c r="AC6" i="12"/>
  <c r="AA5" i="12"/>
  <c r="AC5" i="12"/>
  <c r="AA6" i="12"/>
  <c r="AA7" i="12"/>
  <c r="L5" i="5"/>
  <c r="AA4" i="12" l="1"/>
  <c r="AC4" i="12"/>
  <c r="AC3" i="12"/>
  <c r="AA3" i="12"/>
  <c r="AC2" i="12"/>
  <c r="AA2" i="12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 l="1"/>
  <c r="D8" i="5"/>
  <c r="I13" i="5"/>
  <c r="I10" i="5"/>
  <c r="I8" i="5"/>
  <c r="I5" i="5"/>
  <c r="I2" i="5"/>
  <c r="D2" i="5"/>
  <c r="I16" i="5" l="1"/>
  <c r="I19" i="5"/>
  <c r="D11" i="5"/>
</calcChain>
</file>

<file path=xl/sharedStrings.xml><?xml version="1.0" encoding="utf-8"?>
<sst xmlns="http://schemas.openxmlformats.org/spreadsheetml/2006/main" count="324" uniqueCount="199">
  <si>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</si>
  <si>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</si>
  <si>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</si>
  <si>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</si>
  <si>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</si>
  <si>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</si>
  <si>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</si>
  <si>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</si>
  <si>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</si>
  <si>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</si>
  <si>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</si>
  <si>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</si>
  <si>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</si>
  <si>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</si>
  <si>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</si>
  <si>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</si>
  <si>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</si>
  <si>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</si>
  <si>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</si>
  <si>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</si>
  <si>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</si>
  <si>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</si>
  <si>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</si>
  <si>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</si>
  <si>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</si>
  <si>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</si>
  <si>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</si>
  <si>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</si>
  <si>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</si>
  <si>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</si>
  <si>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</si>
  <si>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</si>
  <si>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</si>
  <si>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</si>
  <si>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</si>
  <si>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</si>
  <si>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</si>
  <si>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</si>
  <si>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</si>
  <si>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</si>
  <si>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</si>
  <si>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</si>
  <si>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</si>
  <si>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</si>
  <si>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</si>
  <si>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</si>
  <si>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</si>
  <si>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</si>
  <si>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</si>
  <si>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</si>
  <si>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</si>
  <si>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</si>
  <si>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</si>
  <si>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</si>
  <si>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</si>
  <si>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</si>
  <si>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</si>
  <si>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</si>
  <si>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</si>
  <si>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</si>
  <si>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</si>
  <si>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</si>
  <si>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</si>
  <si>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</si>
  <si>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</si>
  <si>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</si>
  <si>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</si>
  <si>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</si>
  <si>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</si>
  <si>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</si>
  <si>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</si>
  <si>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</si>
  <si>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</si>
  <si>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</si>
  <si>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</si>
  <si>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</si>
  <si>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</si>
  <si>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</si>
  <si>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</si>
  <si>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</si>
  <si>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</si>
  <si>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</si>
  <si>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</si>
  <si>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</si>
  <si>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</si>
  <si>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</si>
  <si>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</si>
  <si>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</si>
  <si>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</si>
  <si>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</si>
  <si>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</si>
  <si>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</si>
  <si>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</si>
  <si>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</si>
  <si>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</si>
  <si>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</si>
  <si>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</si>
  <si>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</si>
  <si>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</si>
  <si>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</si>
  <si>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</si>
  <si>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</si>
  <si>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</si>
  <si>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</si>
  <si>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</si>
  <si>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</si>
  <si>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</si>
  <si>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</si>
  <si>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</si>
  <si>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</si>
  <si>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</si>
  <si>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</si>
  <si>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</si>
  <si>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</si>
  <si>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</si>
  <si>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</si>
  <si>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</si>
  <si>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</si>
  <si>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</si>
  <si>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</si>
  <si>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</si>
  <si>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t>Gate positions</t>
  </si>
  <si>
    <r>
      <t>r</t>
    </r>
    <r>
      <rPr>
        <vertAlign val="subscript"/>
        <sz val="11"/>
        <color theme="1"/>
        <rFont val="Calibri"/>
        <family val="2"/>
        <scheme val="minor"/>
      </rPr>
      <t>i</t>
    </r>
  </si>
  <si>
    <t>(cm)</t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</si>
  <si>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</si>
  <si>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</si>
  <si>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</si>
  <si>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scheme val="minor"/>
      </rPr>
      <t>4</t>
    </r>
  </si>
  <si>
    <r>
      <t>r</t>
    </r>
    <r>
      <rPr>
        <vertAlign val="subscript"/>
        <sz val="11"/>
        <color theme="1"/>
        <rFont val="Calibri"/>
        <family val="2"/>
        <scheme val="minor"/>
      </rPr>
      <t>5</t>
    </r>
  </si>
  <si>
    <t>Times</t>
  </si>
  <si>
    <t>(S)</t>
  </si>
  <si>
    <r>
      <t>t</t>
    </r>
    <r>
      <rPr>
        <vertAlign val="subscript"/>
        <sz val="11"/>
        <color theme="1"/>
        <rFont val="Calibri"/>
        <family val="2"/>
        <scheme val="minor"/>
      </rPr>
      <t>1</t>
    </r>
  </si>
  <si>
    <r>
      <t>t</t>
    </r>
    <r>
      <rPr>
        <vertAlign val="subscript"/>
        <sz val="11"/>
        <color theme="1"/>
        <rFont val="Calibri"/>
        <family val="2"/>
        <scheme val="minor"/>
      </rPr>
      <t>2</t>
    </r>
  </si>
  <si>
    <r>
      <t>t</t>
    </r>
    <r>
      <rPr>
        <vertAlign val="subscript"/>
        <sz val="11"/>
        <color theme="1"/>
        <rFont val="Calibri"/>
        <family val="2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</si>
  <si>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scheme val="minor"/>
      </rPr>
      <t>4</t>
    </r>
  </si>
  <si>
    <r>
      <t>t</t>
    </r>
    <r>
      <rPr>
        <vertAlign val="subscript"/>
        <sz val="11"/>
        <color theme="1"/>
        <rFont val="Calibri"/>
        <family val="2"/>
        <scheme val="minor"/>
      </rPr>
      <t>5</t>
    </r>
  </si>
  <si>
    <r>
      <t>t</t>
    </r>
    <r>
      <rPr>
        <vertAlign val="subscript"/>
        <sz val="11"/>
        <color theme="1"/>
        <rFont val="Calibri"/>
        <family val="2"/>
        <scheme val="minor"/>
      </rPr>
      <t>6</t>
    </r>
  </si>
  <si>
    <r>
      <t>t</t>
    </r>
    <r>
      <rPr>
        <vertAlign val="subscript"/>
        <sz val="11"/>
        <color theme="1"/>
        <rFont val="Calibri"/>
        <family val="2"/>
        <scheme val="minor"/>
      </rPr>
      <t>7</t>
    </r>
  </si>
  <si>
    <r>
      <t>t</t>
    </r>
    <r>
      <rPr>
        <vertAlign val="subscript"/>
        <sz val="11"/>
        <color theme="1"/>
        <rFont val="Calibri"/>
        <family val="2"/>
        <scheme val="minor"/>
      </rPr>
      <t>8</t>
    </r>
  </si>
  <si>
    <r>
      <t>t</t>
    </r>
    <r>
      <rPr>
        <vertAlign val="subscript"/>
        <sz val="11"/>
        <color theme="1"/>
        <rFont val="Calibri"/>
        <family val="2"/>
        <scheme val="minor"/>
      </rPr>
      <t>9</t>
    </r>
  </si>
  <si>
    <r>
      <t>t</t>
    </r>
    <r>
      <rPr>
        <vertAlign val="subscript"/>
        <sz val="11"/>
        <color theme="1"/>
        <rFont val="Calibri"/>
        <family val="2"/>
        <scheme val="minor"/>
      </rPr>
      <t>10</t>
    </r>
  </si>
  <si>
    <r>
      <t>t</t>
    </r>
    <r>
      <rPr>
        <vertAlign val="subscript"/>
        <sz val="11"/>
        <color theme="1"/>
        <rFont val="Calibri"/>
        <family val="2"/>
        <scheme val="minor"/>
      </rPr>
      <t>11</t>
    </r>
  </si>
  <si>
    <r>
      <t>t</t>
    </r>
    <r>
      <rPr>
        <vertAlign val="subscript"/>
        <sz val="11"/>
        <color theme="1"/>
        <rFont val="Calibri"/>
        <family val="2"/>
        <scheme val="minor"/>
      </rPr>
      <t>12</t>
    </r>
  </si>
  <si>
    <r>
      <t>t</t>
    </r>
    <r>
      <rPr>
        <vertAlign val="subscript"/>
        <sz val="11"/>
        <color theme="1"/>
        <rFont val="Calibri"/>
        <family val="2"/>
        <scheme val="minor"/>
      </rPr>
      <t>13</t>
    </r>
  </si>
  <si>
    <r>
      <t>t</t>
    </r>
    <r>
      <rPr>
        <vertAlign val="subscript"/>
        <sz val="11"/>
        <color theme="1"/>
        <rFont val="Calibri"/>
        <family val="2"/>
        <scheme val="minor"/>
      </rPr>
      <t>14</t>
    </r>
  </si>
  <si>
    <r>
      <t>t</t>
    </r>
    <r>
      <rPr>
        <vertAlign val="subscript"/>
        <sz val="11"/>
        <color theme="1"/>
        <rFont val="Calibri"/>
        <family val="2"/>
        <scheme val="minor"/>
      </rPr>
      <t>15</t>
    </r>
  </si>
  <si>
    <r>
      <t>t</t>
    </r>
    <r>
      <rPr>
        <vertAlign val="subscript"/>
        <sz val="11"/>
        <color theme="1"/>
        <rFont val="Calibri"/>
        <family val="2"/>
        <scheme val="minor"/>
      </rPr>
      <t>16</t>
    </r>
  </si>
  <si>
    <r>
      <t>t</t>
    </r>
    <r>
      <rPr>
        <vertAlign val="subscript"/>
        <sz val="11"/>
        <color theme="1"/>
        <rFont val="Calibri"/>
        <family val="2"/>
        <scheme val="minor"/>
      </rPr>
      <t>17</t>
    </r>
  </si>
  <si>
    <r>
      <t>t</t>
    </r>
    <r>
      <rPr>
        <vertAlign val="subscript"/>
        <sz val="11"/>
        <color theme="1"/>
        <rFont val="Calibri"/>
        <family val="2"/>
        <scheme val="minor"/>
      </rPr>
      <t>18</t>
    </r>
  </si>
  <si>
    <r>
      <t>t</t>
    </r>
    <r>
      <rPr>
        <vertAlign val="subscript"/>
        <sz val="11"/>
        <color theme="1"/>
        <rFont val="Calibri"/>
        <family val="2"/>
        <scheme val="minor"/>
      </rPr>
      <t>19</t>
    </r>
  </si>
  <si>
    <r>
      <t>t</t>
    </r>
    <r>
      <rPr>
        <vertAlign val="subscript"/>
        <sz val="11"/>
        <color theme="1"/>
        <rFont val="Calibri"/>
        <family val="2"/>
        <scheme val="minor"/>
      </rPr>
      <t>20</t>
    </r>
  </si>
  <si>
    <t>Run</t>
  </si>
  <si>
    <t xml:space="preserve">Run </t>
  </si>
  <si>
    <r>
      <t>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down and up</t>
    </r>
  </si>
  <si>
    <t>(sec)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</si>
  <si>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down and up</t>
    </r>
  </si>
  <si>
    <t xml:space="preserve">Note: </t>
  </si>
  <si>
    <r>
      <t>y</t>
    </r>
    <r>
      <rPr>
        <vertAlign val="subscript"/>
        <sz val="11"/>
        <color theme="1"/>
        <rFont val="Calibri"/>
        <family val="2"/>
        <scheme val="minor"/>
      </rPr>
      <t>i,d</t>
    </r>
    <r>
      <rPr>
        <sz val="11"/>
        <color theme="1"/>
        <rFont val="Calibri"/>
        <family val="2"/>
        <scheme val="minor"/>
      </rPr>
      <t>/t</t>
    </r>
    <r>
      <rPr>
        <vertAlign val="subscript"/>
        <sz val="11"/>
        <color theme="1"/>
        <rFont val="Calibri"/>
        <family val="2"/>
        <scheme val="minor"/>
      </rPr>
      <t>i,d</t>
    </r>
  </si>
  <si>
    <t>(cm/s)</t>
  </si>
  <si>
    <r>
      <t>y</t>
    </r>
    <r>
      <rPr>
        <vertAlign val="subscript"/>
        <sz val="11"/>
        <color theme="1"/>
        <rFont val="Calibri"/>
        <family val="2"/>
        <scheme val="minor"/>
      </rPr>
      <t>1,d</t>
    </r>
    <r>
      <rPr>
        <sz val="11"/>
        <color theme="1"/>
        <rFont val="Calibri"/>
        <family val="2"/>
        <scheme val="minor"/>
      </rPr>
      <t>/t</t>
    </r>
    <r>
      <rPr>
        <vertAlign val="subscript"/>
        <sz val="11"/>
        <color theme="1"/>
        <rFont val="Calibri"/>
        <family val="2"/>
        <scheme val="minor"/>
      </rPr>
      <t>1,d</t>
    </r>
  </si>
  <si>
    <r>
      <t>y</t>
    </r>
    <r>
      <rPr>
        <vertAlign val="subscript"/>
        <sz val="11"/>
        <color theme="1"/>
        <rFont val="Calibri"/>
        <family val="2"/>
        <scheme val="minor"/>
      </rPr>
      <t>2,d</t>
    </r>
    <r>
      <rPr>
        <sz val="11"/>
        <color theme="1"/>
        <rFont val="Calibri"/>
        <family val="2"/>
        <scheme val="minor"/>
      </rPr>
      <t>/t</t>
    </r>
    <r>
      <rPr>
        <vertAlign val="subscript"/>
        <sz val="11"/>
        <color theme="1"/>
        <rFont val="Calibri"/>
        <family val="2"/>
        <scheme val="minor"/>
      </rPr>
      <t>2,d</t>
    </r>
  </si>
  <si>
    <r>
      <t>y</t>
    </r>
    <r>
      <rPr>
        <vertAlign val="subscript"/>
        <sz val="11"/>
        <color theme="1"/>
        <rFont val="Calibri"/>
        <family val="2"/>
        <scheme val="minor"/>
      </rPr>
      <t>3,d</t>
    </r>
    <r>
      <rPr>
        <sz val="11"/>
        <color theme="1"/>
        <rFont val="Calibri"/>
        <family val="2"/>
        <scheme val="minor"/>
      </rPr>
      <t>/t</t>
    </r>
    <r>
      <rPr>
        <vertAlign val="subscript"/>
        <sz val="11"/>
        <color theme="1"/>
        <rFont val="Calibri"/>
        <family val="2"/>
        <scheme val="minor"/>
      </rPr>
      <t>3,d</t>
    </r>
  </si>
  <si>
    <r>
      <t>y</t>
    </r>
    <r>
      <rPr>
        <vertAlign val="subscript"/>
        <sz val="11"/>
        <color theme="1"/>
        <rFont val="Calibri"/>
        <family val="2"/>
        <scheme val="minor"/>
      </rPr>
      <t>4,d</t>
    </r>
    <r>
      <rPr>
        <sz val="11"/>
        <color theme="1"/>
        <rFont val="Calibri"/>
        <family val="2"/>
        <scheme val="minor"/>
      </rPr>
      <t>/t</t>
    </r>
    <r>
      <rPr>
        <vertAlign val="subscript"/>
        <sz val="11"/>
        <color theme="1"/>
        <rFont val="Calibri"/>
        <family val="2"/>
        <scheme val="minor"/>
      </rPr>
      <t>4,d</t>
    </r>
  </si>
  <si>
    <r>
      <t>y</t>
    </r>
    <r>
      <rPr>
        <vertAlign val="subscript"/>
        <sz val="11"/>
        <color theme="1"/>
        <rFont val="Calibri"/>
        <family val="2"/>
        <scheme val="minor"/>
      </rPr>
      <t>1,u</t>
    </r>
    <r>
      <rPr>
        <sz val="11"/>
        <color theme="1"/>
        <rFont val="Calibri"/>
        <family val="2"/>
        <scheme val="minor"/>
      </rPr>
      <t>/t</t>
    </r>
    <r>
      <rPr>
        <vertAlign val="subscript"/>
        <sz val="11"/>
        <color theme="1"/>
        <rFont val="Calibri"/>
        <family val="2"/>
        <scheme val="minor"/>
      </rPr>
      <t>1,u</t>
    </r>
  </si>
  <si>
    <r>
      <t>y</t>
    </r>
    <r>
      <rPr>
        <vertAlign val="subscript"/>
        <sz val="11"/>
        <color theme="1"/>
        <rFont val="Calibri"/>
        <family val="2"/>
        <scheme val="minor"/>
      </rPr>
      <t>2,u</t>
    </r>
    <r>
      <rPr>
        <sz val="11"/>
        <color theme="1"/>
        <rFont val="Calibri"/>
        <family val="2"/>
        <scheme val="minor"/>
      </rPr>
      <t>/t</t>
    </r>
    <r>
      <rPr>
        <vertAlign val="subscript"/>
        <sz val="11"/>
        <color theme="1"/>
        <rFont val="Calibri"/>
        <family val="2"/>
        <scheme val="minor"/>
      </rPr>
      <t>2,u</t>
    </r>
  </si>
  <si>
    <r>
      <t>y</t>
    </r>
    <r>
      <rPr>
        <vertAlign val="subscript"/>
        <sz val="11"/>
        <color theme="1"/>
        <rFont val="Calibri"/>
        <family val="2"/>
        <scheme val="minor"/>
      </rPr>
      <t>3,u</t>
    </r>
    <r>
      <rPr>
        <sz val="11"/>
        <color theme="1"/>
        <rFont val="Calibri"/>
        <family val="2"/>
        <scheme val="minor"/>
      </rPr>
      <t>/t</t>
    </r>
    <r>
      <rPr>
        <vertAlign val="subscript"/>
        <sz val="11"/>
        <color theme="1"/>
        <rFont val="Calibri"/>
        <family val="2"/>
        <scheme val="minor"/>
      </rPr>
      <t>3,u</t>
    </r>
  </si>
  <si>
    <r>
      <t>y</t>
    </r>
    <r>
      <rPr>
        <vertAlign val="subscript"/>
        <sz val="11"/>
        <color theme="1"/>
        <rFont val="Calibri"/>
        <family val="2"/>
        <scheme val="minor"/>
      </rPr>
      <t>4,u</t>
    </r>
    <r>
      <rPr>
        <sz val="11"/>
        <color theme="1"/>
        <rFont val="Calibri"/>
        <family val="2"/>
        <scheme val="minor"/>
      </rPr>
      <t>/t</t>
    </r>
    <r>
      <rPr>
        <vertAlign val="subscript"/>
        <sz val="11"/>
        <color theme="1"/>
        <rFont val="Calibri"/>
        <family val="2"/>
        <scheme val="minor"/>
      </rPr>
      <t>4,u</t>
    </r>
  </si>
  <si>
    <r>
      <t>y</t>
    </r>
    <r>
      <rPr>
        <vertAlign val="subscript"/>
        <sz val="11"/>
        <color theme="1"/>
        <rFont val="Calibri"/>
        <family val="2"/>
        <scheme val="minor"/>
      </rPr>
      <t>1,d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</si>
  <si>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vertAlign val="subscript"/>
        <sz val="11"/>
        <color theme="1"/>
        <rFont val="Calibri"/>
        <family val="2"/>
        <scheme val="minor"/>
      </rPr>
      <t>2,d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</si>
  <si>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vertAlign val="subscript"/>
        <sz val="11"/>
        <color theme="1"/>
        <rFont val="Calibri"/>
        <family val="2"/>
        <scheme val="minor"/>
      </rPr>
      <t>3,d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</si>
  <si>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vertAlign val="subscript"/>
        <sz val="11"/>
        <color theme="1"/>
        <rFont val="Calibri"/>
        <family val="2"/>
        <scheme val="minor"/>
      </rPr>
      <t>4,d</t>
    </r>
  </si>
  <si>
    <r>
      <t>y</t>
    </r>
    <r>
      <rPr>
        <vertAlign val="subscript"/>
        <sz val="11"/>
        <color theme="1"/>
        <rFont val="Calibri"/>
        <family val="2"/>
        <scheme val="minor"/>
      </rPr>
      <t>1,u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</si>
  <si>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vertAlign val="subscript"/>
        <sz val="11"/>
        <color theme="1"/>
        <rFont val="Calibri"/>
        <family val="2"/>
        <scheme val="minor"/>
      </rPr>
      <t>2,u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</si>
  <si>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vertAlign val="subscript"/>
        <sz val="11"/>
        <color theme="1"/>
        <rFont val="Calibri"/>
        <family val="2"/>
        <scheme val="minor"/>
      </rPr>
      <t>3,u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</si>
  <si>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vertAlign val="subscript"/>
        <sz val="11"/>
        <color theme="1"/>
        <rFont val="Calibri"/>
        <family val="2"/>
        <scheme val="minor"/>
      </rPr>
      <t>4,u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</si>
  <si>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vertAlign val="subscript"/>
        <sz val="11"/>
        <color theme="1"/>
        <rFont val="Calibri"/>
        <family val="2"/>
        <scheme val="minor"/>
      </rPr>
      <t>1,d</t>
    </r>
  </si>
  <si>
    <r>
      <t>t</t>
    </r>
    <r>
      <rPr>
        <vertAlign val="subscript"/>
        <sz val="11"/>
        <color theme="1"/>
        <rFont val="Calibri"/>
        <family val="2"/>
        <scheme val="minor"/>
      </rPr>
      <t>2,d</t>
    </r>
  </si>
  <si>
    <r>
      <t>t</t>
    </r>
    <r>
      <rPr>
        <vertAlign val="subscript"/>
        <sz val="11"/>
        <color theme="1"/>
        <rFont val="Calibri"/>
        <family val="2"/>
        <scheme val="minor"/>
      </rPr>
      <t>3,d</t>
    </r>
  </si>
  <si>
    <r>
      <t>t</t>
    </r>
    <r>
      <rPr>
        <vertAlign val="subscript"/>
        <sz val="11"/>
        <color theme="1"/>
        <rFont val="Calibri"/>
        <family val="2"/>
        <scheme val="minor"/>
      </rPr>
      <t>4,d</t>
    </r>
  </si>
  <si>
    <r>
      <t>t</t>
    </r>
    <r>
      <rPr>
        <vertAlign val="subscript"/>
        <sz val="11"/>
        <color theme="1"/>
        <rFont val="Calibri"/>
        <family val="2"/>
        <scheme val="minor"/>
      </rPr>
      <t>1,u</t>
    </r>
  </si>
  <si>
    <r>
      <t>t</t>
    </r>
    <r>
      <rPr>
        <vertAlign val="subscript"/>
        <sz val="11"/>
        <color theme="1"/>
        <rFont val="Calibri"/>
        <family val="2"/>
        <scheme val="minor"/>
      </rPr>
      <t>2,u</t>
    </r>
  </si>
  <si>
    <r>
      <t>t</t>
    </r>
    <r>
      <rPr>
        <vertAlign val="subscript"/>
        <sz val="11"/>
        <color theme="1"/>
        <rFont val="Calibri"/>
        <family val="2"/>
        <scheme val="minor"/>
      </rPr>
      <t>3,u</t>
    </r>
  </si>
  <si>
    <r>
      <t>t</t>
    </r>
    <r>
      <rPr>
        <vertAlign val="subscript"/>
        <sz val="11"/>
        <color theme="1"/>
        <rFont val="Calibri"/>
        <family val="2"/>
        <scheme val="minor"/>
      </rPr>
      <t>4,u</t>
    </r>
  </si>
  <si>
    <t>t_1,d = time it takes the front of the glider to travel from the 1st detector to the 2nd detector</t>
  </si>
  <si>
    <t>therefore t_1,d = time 1 glider moving down = t3 - t1</t>
  </si>
  <si>
    <t>a_up</t>
  </si>
  <si>
    <t>a_down</t>
  </si>
  <si>
    <t>angle</t>
  </si>
  <si>
    <t>(deg)</t>
  </si>
  <si>
    <r>
      <t>S</t>
    </r>
    <r>
      <rPr>
        <vertAlign val="subscript"/>
        <sz val="11"/>
        <color theme="1"/>
        <rFont val="Calibri"/>
        <family val="2"/>
        <scheme val="minor"/>
      </rPr>
      <t>angle</t>
    </r>
  </si>
  <si>
    <t>μ</t>
  </si>
  <si>
    <t>(unitless)</t>
  </si>
  <si>
    <t>%diff</t>
  </si>
  <si>
    <r>
      <t>(cm/s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</si>
  <si>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g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</si>
  <si>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μ</t>
    </r>
  </si>
  <si>
    <t>rad</t>
  </si>
  <si>
    <t>gacc</t>
  </si>
  <si>
    <t>cm/s^2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</si>
</sst>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26262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2" fontId="0" fillId="0" borderId="0" xfId="0" applyNumberFormat="1"/>
    <xf numFmtId="0" fontId="0" fillId="4" borderId="0" xfId="0" applyFill="1"/>
    <xf numFmtId="2" fontId="0" fillId="4" borderId="0" xfId="0" applyNumberFormat="1" applyFill="1"/>
    <xf numFmtId="164" fontId="0" fillId="4" borderId="0" xfId="0" applyNumberFormat="1" applyFill="1"/>
    <xf numFmtId="0" fontId="0" fillId="5" borderId="0" xfId="0" applyFill="1"/>
    <xf numFmtId="0" fontId="0" fillId="0" borderId="10" xfId="0" applyBorder="1"/>
    <xf numFmtId="0" fontId="1" fillId="0" borderId="10" xfId="0" applyFont="1" applyBorder="1"/>
    <xf numFmtId="0" fontId="12" fillId="0" borderId="10" xfId="0" applyFont="1" applyBorder="1"/>
    <xf numFmtId="2" fontId="0" fillId="5" borderId="0" xfId="0" applyNumberFormat="1" applyFill="1"/>
    <xf numFmtId="164" fontId="0" fillId="5" borderId="0" xfId="0" applyNumberFormat="1" applyFill="1"/>
    <xf numFmtId="0" fontId="13" fillId="0" borderId="0" xfId="0" applyFont="1"/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4" borderId="0" xfId="0" applyFill="1" applyAlignment="1">
      <alignment horizontal="left" wrapText="1"/>
    </xf>
    <xf numFmtId="0" fontId="1" fillId="2" borderId="2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E1-4A81-A191-2639B7C99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22704"/>
        <c:axId val="299146384"/>
      </c:scatterChart>
      <c:valAx>
        <c:axId val="234122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146384"/>
        <c:crosses val="autoZero"/>
        <c:crossBetween val="midCat"/>
      </c:valAx>
      <c:valAx>
        <c:axId val="299146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412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E-47C7-BF6B-836968752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50864"/>
        <c:axId val="299151424"/>
      </c:scatterChart>
      <c:valAx>
        <c:axId val="29915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151424"/>
        <c:crosses val="autoZero"/>
        <c:crossBetween val="midCat"/>
      </c:valAx>
      <c:valAx>
        <c:axId val="299151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15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9B-4FF2-8D04-585C76AE8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53664"/>
        <c:axId val="301049792"/>
      </c:scatterChart>
      <c:valAx>
        <c:axId val="299153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49792"/>
        <c:crosses val="autoZero"/>
        <c:crossBetween val="midCat"/>
      </c:valAx>
      <c:valAx>
        <c:axId val="301049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1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5C-448A-B73B-3E8FF9220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52032"/>
        <c:axId val="301052592"/>
      </c:scatterChart>
      <c:valAx>
        <c:axId val="301052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52592"/>
        <c:crosses val="autoZero"/>
        <c:crossBetween val="midCat"/>
      </c:valAx>
      <c:valAx>
        <c:axId val="301052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5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C-4DD4-8666-86596586557D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3C-4DD4-8666-865965865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55392"/>
        <c:axId val="301055952"/>
      </c:scatterChart>
      <c:valAx>
        <c:axId val="301055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55952"/>
        <c:crosses val="autoZero"/>
        <c:crossBetween val="midCat"/>
      </c:valAx>
      <c:valAx>
        <c:axId val="301055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55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B4-4844-AECC-28C21A253EF4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B4-4844-AECC-28C21A25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829152"/>
        <c:axId val="300829712"/>
      </c:scatterChart>
      <c:valAx>
        <c:axId val="30082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0829712"/>
        <c:crosses val="autoZero"/>
        <c:crossBetween val="midCat"/>
      </c:valAx>
      <c:valAx>
        <c:axId val="300829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0829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24"/>
  <sheetViews>
    <sheetView tabSelected="1" topLeftCell="K1" zoomScale="145" zoomScaleNormal="145" workbookViewId="0">
      <selection activeCell="AF7" sqref="AF7"/>
    </sheetView>
  </sheetViews>
  <sheetFormatPr defaultRowHeight="15" x14ac:dyDescent="0.25"/>
  <cols>
    <col min="1" max="1" width="12.28515625" customWidth="1"/>
    <col min="22" max="23" width="8.7109375" customWidth="1"/>
  </cols>
  <sheetData>
    <row r="1" spans="1:34" ht="18" x14ac:dyDescent="0.35">
      <c r="A1" t="s">
        <v>129</v>
      </c>
      <c r="B1" t="s">
        <v>151</v>
      </c>
      <c r="C1" t="s">
        <v>151</v>
      </c>
      <c r="D1" t="s">
        <v>151</v>
      </c>
      <c r="E1" t="s">
        <v>152</v>
      </c>
      <c r="F1" t="s">
        <v>151</v>
      </c>
      <c r="G1" t="s">
        <v>151</v>
      </c>
      <c r="I1" t="s">
        <v>155</v>
      </c>
      <c r="J1" t="s">
        <v>151</v>
      </c>
      <c r="K1" t="s">
        <v>151</v>
      </c>
      <c r="L1" t="s">
        <v>151</v>
      </c>
      <c r="M1" t="s">
        <v>151</v>
      </c>
      <c r="N1" t="s">
        <v>151</v>
      </c>
      <c r="O1" t="s">
        <v>151</v>
      </c>
      <c r="Q1" t="s">
        <v>157</v>
      </c>
      <c r="R1" t="s">
        <v>151</v>
      </c>
      <c r="S1" t="s">
        <v>151</v>
      </c>
      <c r="T1" t="s">
        <v>151</v>
      </c>
      <c r="U1" t="s">
        <v>151</v>
      </c>
      <c r="V1" t="s">
        <v>151</v>
      </c>
      <c r="W1" t="s">
        <v>151</v>
      </c>
      <c r="AA1" s="10" t="s">
        <v>186</v>
      </c>
      <c r="AB1" s="1" t="s">
        <v>4</v>
      </c>
      <c r="AC1" s="13" t="s">
        <v>185</v>
      </c>
      <c r="AD1" s="1" t="s">
        <v>4</v>
      </c>
      <c r="AE1" s="15" t="s">
        <v>29</v>
      </c>
      <c r="AF1" s="16" t="s">
        <v>190</v>
      </c>
      <c r="AH1" t="s">
        <v>197</v>
      </c>
    </row>
    <row r="2" spans="1:34" ht="17.25" x14ac:dyDescent="0.25">
      <c r="A2" t="s">
        <v>130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I2" t="s">
        <v>154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Q2" t="s">
        <v>158</v>
      </c>
      <c r="R2">
        <v>1</v>
      </c>
      <c r="S2">
        <v>2</v>
      </c>
      <c r="T2">
        <v>3</v>
      </c>
      <c r="U2">
        <v>4</v>
      </c>
      <c r="V2">
        <v>5</v>
      </c>
      <c r="W2">
        <v>6</v>
      </c>
      <c r="Y2" t="s">
        <v>151</v>
      </c>
      <c r="Z2">
        <v>1</v>
      </c>
      <c r="AA2">
        <f>R16</f>
        <v>23.128588681350525</v>
      </c>
      <c r="AB2">
        <f>COUNT(AA:AA)</f>
        <v>6</v>
      </c>
      <c r="AC2">
        <f>R17</f>
        <v>39.677963216194101</v>
      </c>
      <c r="AD2">
        <f>COUNT(AC:AC)</f>
        <v>6</v>
      </c>
      <c r="AE2" s="15" t="s">
        <v>193</v>
      </c>
      <c r="AF2" s="15" t="s">
        <v>191</v>
      </c>
      <c r="AH2" t="s">
        <v>198</v>
      </c>
    </row>
    <row r="3" spans="1:34" ht="18" x14ac:dyDescent="0.35">
      <c r="A3" s="10" t="s">
        <v>131</v>
      </c>
      <c r="B3" s="11">
        <v>1.22</v>
      </c>
      <c r="C3" s="10">
        <v>0.64800000000000002</v>
      </c>
      <c r="D3" s="12">
        <v>0.18</v>
      </c>
      <c r="E3" s="10">
        <v>-0.78</v>
      </c>
      <c r="F3" s="10">
        <v>-1.28</v>
      </c>
      <c r="G3" s="10">
        <v>-1.18</v>
      </c>
      <c r="I3" s="10" t="s">
        <v>175</v>
      </c>
      <c r="J3" s="11">
        <f>B5-$B$3</f>
        <v>0.40000000000000013</v>
      </c>
      <c r="K3" s="11">
        <f>C5-$C$3</f>
        <v>0.40800000000000003</v>
      </c>
      <c r="L3" s="11">
        <f>D5-$D$3</f>
        <v>0.39799999999999996</v>
      </c>
      <c r="M3" s="11">
        <f>E5-$E$3</f>
        <v>0.57000000000000006</v>
      </c>
      <c r="N3" s="11">
        <f>F5-$F$3</f>
        <v>0.54</v>
      </c>
      <c r="O3" s="11">
        <f>G5-$G$3</f>
        <v>0.53999999999999992</v>
      </c>
      <c r="P3" s="9"/>
      <c r="Q3" s="10" t="s">
        <v>159</v>
      </c>
      <c r="R3" s="10">
        <f t="shared" ref="R3:R10" si="0">M17/J3</f>
        <v>56.249999999999979</v>
      </c>
      <c r="S3" s="10">
        <f>M17/K3</f>
        <v>55.147058823529406</v>
      </c>
      <c r="T3" s="10">
        <f>M17/L3</f>
        <v>56.532663316582919</v>
      </c>
      <c r="U3" s="10">
        <f>M17/M3</f>
        <v>39.473684210526308</v>
      </c>
      <c r="V3" s="10">
        <f>M17/N3</f>
        <v>41.666666666666664</v>
      </c>
      <c r="W3" s="10">
        <f>M17/O3</f>
        <v>41.666666666666671</v>
      </c>
      <c r="Y3" t="s">
        <v>151</v>
      </c>
      <c r="Z3">
        <v>2</v>
      </c>
      <c r="AA3">
        <f>S16</f>
        <v>20.983198605843647</v>
      </c>
      <c r="AB3" s="2" t="s">
        <v>11</v>
      </c>
      <c r="AC3">
        <f>S17</f>
        <v>38.599931365052093</v>
      </c>
      <c r="AD3" s="2" t="s">
        <v>11</v>
      </c>
      <c r="AE3" s="15">
        <f>(AB5+AD5)/(2*SIN(P17))</f>
        <v>968.81791716452301</v>
      </c>
      <c r="AF3" s="15">
        <f xml:space="preserve"> (AD5 -AB5) / (AB5 + AD5) * TAN( P17)</f>
        <v>9.2267380768855465E-3</v>
      </c>
      <c r="AH3">
        <v>980.35</v>
      </c>
    </row>
    <row r="4" spans="1:34" ht="18" x14ac:dyDescent="0.35">
      <c r="A4" t="s">
        <v>132</v>
      </c>
      <c r="B4" s="9">
        <v>1.46</v>
      </c>
      <c r="C4">
        <v>0.89200000000000002</v>
      </c>
      <c r="D4" s="8">
        <v>0.41599999999999998</v>
      </c>
      <c r="E4">
        <v>-0.45</v>
      </c>
      <c r="F4">
        <v>-0.96</v>
      </c>
      <c r="G4">
        <v>-0.86</v>
      </c>
      <c r="I4" s="10" t="s">
        <v>176</v>
      </c>
      <c r="J4" s="11">
        <f>B7-$B$3</f>
        <v>0.74</v>
      </c>
      <c r="K4" s="11">
        <f>C7-$C$3</f>
        <v>0.7579999999999999</v>
      </c>
      <c r="L4" s="11">
        <f>D7-$D$3</f>
        <v>0.73</v>
      </c>
      <c r="M4" s="11">
        <f>E7-$E$3</f>
        <v>0.98</v>
      </c>
      <c r="N4" s="11">
        <f>F7-$F$3</f>
        <v>0.92</v>
      </c>
      <c r="O4" s="11">
        <f>G7-$G$3</f>
        <v>0.91999999999999993</v>
      </c>
      <c r="P4" s="9"/>
      <c r="Q4" s="10" t="s">
        <v>160</v>
      </c>
      <c r="R4" s="10">
        <f t="shared" si="0"/>
        <v>60.810810810810814</v>
      </c>
      <c r="S4" s="10">
        <f t="shared" ref="S4:S10" si="1">M18/K4</f>
        <v>59.366754617414259</v>
      </c>
      <c r="T4" s="10">
        <f>M18/L4</f>
        <v>61.643835616438359</v>
      </c>
      <c r="U4" s="10">
        <f>M18/M4</f>
        <v>45.91836734693878</v>
      </c>
      <c r="V4" s="10">
        <f>M18/N4</f>
        <v>48.913043478260867</v>
      </c>
      <c r="W4" s="10">
        <f>M18/O4</f>
        <v>48.913043478260875</v>
      </c>
      <c r="Y4" t="s">
        <v>151</v>
      </c>
      <c r="Z4">
        <v>3</v>
      </c>
      <c r="AA4">
        <f>T16</f>
        <v>14.49408734534677</v>
      </c>
      <c r="AB4" s="1" t="s">
        <v>12</v>
      </c>
      <c r="AC4">
        <f>T17</f>
        <v>40.973696030689737</v>
      </c>
      <c r="AD4" s="1" t="s">
        <v>12</v>
      </c>
      <c r="AE4" s="3"/>
      <c r="AF4" s="3"/>
    </row>
    <row r="5" spans="1:34" ht="18" x14ac:dyDescent="0.35">
      <c r="A5" s="10" t="s">
        <v>133</v>
      </c>
      <c r="B5" s="11">
        <v>1.62</v>
      </c>
      <c r="C5" s="10">
        <v>1.056</v>
      </c>
      <c r="D5" s="12">
        <v>0.57799999999999996</v>
      </c>
      <c r="E5" s="10">
        <v>-0.21</v>
      </c>
      <c r="F5" s="10">
        <v>-0.74</v>
      </c>
      <c r="G5" s="10">
        <v>-0.64</v>
      </c>
      <c r="I5" s="10" t="s">
        <v>177</v>
      </c>
      <c r="J5" s="11">
        <f>B9-$B$3</f>
        <v>1.0900000000000001</v>
      </c>
      <c r="K5" s="11">
        <f>C9-$C$3</f>
        <v>1.1179999999999999</v>
      </c>
      <c r="L5" s="11">
        <f>D9-$D$3</f>
        <v>1.1880000000000002</v>
      </c>
      <c r="M5" s="11">
        <f>E9-$E$3</f>
        <v>1.33</v>
      </c>
      <c r="N5" s="11">
        <f>F9-$F$3</f>
        <v>1.26</v>
      </c>
      <c r="O5" s="11">
        <f>G9-$G$3</f>
        <v>1.26</v>
      </c>
      <c r="P5" s="9"/>
      <c r="Q5" s="10" t="s">
        <v>161</v>
      </c>
      <c r="R5" s="10">
        <f t="shared" si="0"/>
        <v>61.926605504587151</v>
      </c>
      <c r="S5" s="10">
        <f t="shared" si="1"/>
        <v>60.375670840787123</v>
      </c>
      <c r="T5" s="10">
        <f>M19/L5</f>
        <v>56.818181818181813</v>
      </c>
      <c r="U5" s="10">
        <f>M19/M5</f>
        <v>50.751879699248114</v>
      </c>
      <c r="V5" s="10">
        <f>M19/N5</f>
        <v>53.571428571428569</v>
      </c>
      <c r="W5" s="10">
        <f>M19/O5</f>
        <v>53.571428571428569</v>
      </c>
      <c r="Y5" t="s">
        <v>151</v>
      </c>
      <c r="Z5">
        <v>4</v>
      </c>
      <c r="AA5">
        <f>U16</f>
        <v>31.107962424215014</v>
      </c>
      <c r="AB5">
        <f>AVERAGE(AA:AA)</f>
        <v>26.568055887999066</v>
      </c>
      <c r="AC5">
        <f>U17</f>
        <v>34.462814524303504</v>
      </c>
      <c r="AD5">
        <f>AVERAGE(AC:AC)</f>
        <v>44.434107204539622</v>
      </c>
      <c r="AE5" s="15" t="s">
        <v>194</v>
      </c>
      <c r="AF5" s="15" t="s">
        <v>195</v>
      </c>
    </row>
    <row r="6" spans="1:34" ht="18.75" x14ac:dyDescent="0.35">
      <c r="A6" t="s">
        <v>134</v>
      </c>
      <c r="B6" s="9">
        <v>1.83</v>
      </c>
      <c r="C6">
        <v>1.266</v>
      </c>
      <c r="D6" s="8">
        <v>0.77400000000000002</v>
      </c>
      <c r="E6">
        <v>0.02</v>
      </c>
      <c r="F6">
        <v>-0.52</v>
      </c>
      <c r="G6">
        <v>-0.42</v>
      </c>
      <c r="I6" s="10" t="s">
        <v>178</v>
      </c>
      <c r="J6" s="11">
        <f>B11-$B$3</f>
        <v>1.32</v>
      </c>
      <c r="K6" s="11">
        <f>C11-$C$3</f>
        <v>1.3569999999999998</v>
      </c>
      <c r="L6" s="11">
        <f>D11-$D$3</f>
        <v>1.3220000000000001</v>
      </c>
      <c r="M6" s="11">
        <f>E11-$E$3</f>
        <v>1.6099999999999999</v>
      </c>
      <c r="N6" s="11">
        <f>F11-$F$3</f>
        <v>1.52</v>
      </c>
      <c r="O6" s="11">
        <f>G11-$G$3</f>
        <v>1.52</v>
      </c>
      <c r="P6" s="9"/>
      <c r="Q6" s="10" t="s">
        <v>162</v>
      </c>
      <c r="R6" s="10">
        <f t="shared" si="0"/>
        <v>68.181818181818173</v>
      </c>
      <c r="S6" s="10">
        <f t="shared" si="1"/>
        <v>66.322770817980853</v>
      </c>
      <c r="T6" s="10">
        <f>M20/L6</f>
        <v>68.078668683812396</v>
      </c>
      <c r="U6" s="10">
        <f>M20/M6</f>
        <v>55.900621118012424</v>
      </c>
      <c r="V6" s="10">
        <f>M20/N6</f>
        <v>59.210526315789473</v>
      </c>
      <c r="W6" s="10">
        <f>M20/O6</f>
        <v>59.210526315789473</v>
      </c>
      <c r="Y6" t="s">
        <v>151</v>
      </c>
      <c r="Z6">
        <v>5</v>
      </c>
      <c r="AA6">
        <f>V16</f>
        <v>34.847249135619222</v>
      </c>
      <c r="AB6" s="1" t="s">
        <v>13</v>
      </c>
      <c r="AC6">
        <f>V17</f>
        <v>33.145122015818558</v>
      </c>
      <c r="AD6" s="1" t="s">
        <v>13</v>
      </c>
      <c r="AE6" s="15" t="s">
        <v>193</v>
      </c>
      <c r="AF6" s="15" t="s">
        <v>191</v>
      </c>
    </row>
    <row r="7" spans="1:34" ht="18" x14ac:dyDescent="0.35">
      <c r="A7" s="10" t="s">
        <v>135</v>
      </c>
      <c r="B7" s="11">
        <v>1.96</v>
      </c>
      <c r="C7" s="10">
        <v>1.4059999999999999</v>
      </c>
      <c r="D7" s="12">
        <v>0.91</v>
      </c>
      <c r="E7" s="10">
        <v>0.2</v>
      </c>
      <c r="F7" s="10">
        <v>-0.36</v>
      </c>
      <c r="G7" s="10">
        <v>-0.26</v>
      </c>
      <c r="I7" s="13" t="s">
        <v>179</v>
      </c>
      <c r="J7" s="17">
        <f>B16-$B$14</f>
        <v>0.27</v>
      </c>
      <c r="K7" s="17">
        <f>C16-$C$14</f>
        <v>0.27700000000000014</v>
      </c>
      <c r="L7" s="17">
        <f>D16-$D$14</f>
        <v>0.26799999999999979</v>
      </c>
      <c r="M7" s="17">
        <f>E16-$E$14</f>
        <v>0.30000000000000004</v>
      </c>
      <c r="N7" s="17">
        <f>F16-$F$14</f>
        <v>0.30000000000000004</v>
      </c>
      <c r="O7" s="17">
        <f>G16-$G$14</f>
        <v>0.19000000000000017</v>
      </c>
      <c r="P7" s="9"/>
      <c r="Q7" s="13" t="s">
        <v>163</v>
      </c>
      <c r="R7" s="13">
        <f t="shared" si="0"/>
        <v>-83.333333333333329</v>
      </c>
      <c r="S7" s="13">
        <f t="shared" si="1"/>
        <v>-81.227436823104654</v>
      </c>
      <c r="T7" s="13">
        <f t="shared" ref="T7:T10" si="2">M21/L7</f>
        <v>-83.955223880597075</v>
      </c>
      <c r="U7" s="13">
        <f t="shared" ref="U7:U10" si="3">M21/M7</f>
        <v>-74.999999999999986</v>
      </c>
      <c r="V7" s="13">
        <f t="shared" ref="V7:V10" si="4">M21/N7</f>
        <v>-74.999999999999986</v>
      </c>
      <c r="W7" s="13">
        <f t="shared" ref="W7:W10" si="5">M21/O7</f>
        <v>-118.42105263157885</v>
      </c>
      <c r="Y7" t="s">
        <v>151</v>
      </c>
      <c r="Z7">
        <v>6</v>
      </c>
      <c r="AA7">
        <f>W16</f>
        <v>34.847249135619201</v>
      </c>
      <c r="AB7" s="1" t="s">
        <v>12</v>
      </c>
      <c r="AC7">
        <f>W17</f>
        <v>79.745116075179737</v>
      </c>
      <c r="AD7" s="1" t="s">
        <v>12</v>
      </c>
      <c r="AE7" s="19">
        <f>AE3* SQRT( ( (AB11)^2 + (AD11)^2 )/(AB5 +AD5)^2  + (P21 / SIN(P17) )^2 )</f>
        <v>117.69394692217047</v>
      </c>
      <c r="AF7" s="15">
        <f>AF3*SQRT( (AB11^2+AD11^2) / (AD5-AB5)^2 + (AB11^2+AD11^2) / (AB5+AD5)^2 + (P21/P17)^2)</f>
        <v>4.2484085617157698E-3</v>
      </c>
    </row>
    <row r="8" spans="1:34" ht="18" x14ac:dyDescent="0.35">
      <c r="A8" t="s">
        <v>136</v>
      </c>
      <c r="B8" s="9">
        <v>2.13</v>
      </c>
      <c r="C8">
        <v>1.585</v>
      </c>
      <c r="D8" s="8">
        <v>1.0860000000000001</v>
      </c>
      <c r="E8">
        <v>0.4</v>
      </c>
      <c r="F8">
        <v>-0.17</v>
      </c>
      <c r="G8">
        <v>-7.0000000000000007E-2</v>
      </c>
      <c r="I8" s="13" t="s">
        <v>180</v>
      </c>
      <c r="J8" s="17">
        <f>B18-$B$14</f>
        <v>0.69000000000000039</v>
      </c>
      <c r="K8" s="17">
        <f>C18-$C$14</f>
        <v>0.71700000000000008</v>
      </c>
      <c r="L8" s="17">
        <f>D18-$D$14</f>
        <v>0.70000000000000018</v>
      </c>
      <c r="M8" s="17">
        <f>E18-$E$14</f>
        <v>0.70000000000000018</v>
      </c>
      <c r="N8" s="17">
        <f>F18-$F$14</f>
        <v>0.66999999999999993</v>
      </c>
      <c r="O8" s="17">
        <f>G18-$G$14</f>
        <v>0.56000000000000005</v>
      </c>
      <c r="P8" s="9"/>
      <c r="Q8" s="13" t="s">
        <v>164</v>
      </c>
      <c r="R8" s="13">
        <f t="shared" si="0"/>
        <v>-65.217391304347785</v>
      </c>
      <c r="S8" s="13">
        <f t="shared" si="1"/>
        <v>-62.761506276150619</v>
      </c>
      <c r="T8" s="13">
        <f t="shared" si="2"/>
        <v>-64.285714285714263</v>
      </c>
      <c r="U8" s="13">
        <f t="shared" si="3"/>
        <v>-64.285714285714263</v>
      </c>
      <c r="V8" s="13">
        <f t="shared" si="4"/>
        <v>-67.164179104477626</v>
      </c>
      <c r="W8" s="13">
        <f t="shared" si="5"/>
        <v>-80.357142857142847</v>
      </c>
      <c r="AB8">
        <f>_xlfn.STDEV.S(AA:AA)</f>
        <v>8.3246875607084139</v>
      </c>
      <c r="AD8">
        <f>_xlfn.STDEV.S(AC:AC)</f>
        <v>17.563417495604668</v>
      </c>
      <c r="AE8" s="3"/>
      <c r="AF8" s="3"/>
    </row>
    <row r="9" spans="1:34" ht="18" x14ac:dyDescent="0.35">
      <c r="A9" s="10" t="s">
        <v>137</v>
      </c>
      <c r="B9" s="11">
        <v>2.31</v>
      </c>
      <c r="C9" s="10">
        <v>1.766</v>
      </c>
      <c r="D9" s="12">
        <v>1.3680000000000001</v>
      </c>
      <c r="E9" s="10">
        <v>0.55000000000000004</v>
      </c>
      <c r="F9" s="10">
        <v>-0.02</v>
      </c>
      <c r="G9" s="10">
        <v>0.08</v>
      </c>
      <c r="I9" s="13" t="s">
        <v>181</v>
      </c>
      <c r="J9" s="17">
        <f>B20-$B$14</f>
        <v>0.90000000000000036</v>
      </c>
      <c r="K9" s="17">
        <f>C20-$C$14</f>
        <v>1.1720000000000002</v>
      </c>
      <c r="L9" s="17">
        <f>D20-$D$14</f>
        <v>1.1360000000000001</v>
      </c>
      <c r="M9" s="17">
        <f>E20-$E$14</f>
        <v>1.19</v>
      </c>
      <c r="N9" s="17">
        <f>F20-$F$14</f>
        <v>1.1299999999999999</v>
      </c>
      <c r="O9" s="17">
        <f>G20-$G$14</f>
        <v>1.0200000000000002</v>
      </c>
      <c r="P9" s="9"/>
      <c r="Q9" s="13" t="s">
        <v>165</v>
      </c>
      <c r="R9" s="13">
        <f t="shared" si="0"/>
        <v>-74.999999999999972</v>
      </c>
      <c r="S9" s="13">
        <f t="shared" si="1"/>
        <v>-57.593856655290097</v>
      </c>
      <c r="T9" s="13">
        <f t="shared" si="2"/>
        <v>-59.419014084507033</v>
      </c>
      <c r="U9" s="13">
        <f t="shared" si="3"/>
        <v>-56.722689075630257</v>
      </c>
      <c r="V9" s="13">
        <f t="shared" si="4"/>
        <v>-59.734513274336287</v>
      </c>
      <c r="W9" s="13">
        <f t="shared" si="5"/>
        <v>-66.176470588235276</v>
      </c>
      <c r="AB9" s="1" t="s">
        <v>14</v>
      </c>
      <c r="AD9" s="1" t="s">
        <v>14</v>
      </c>
      <c r="AE9" s="15" t="s">
        <v>192</v>
      </c>
      <c r="AF9" s="3"/>
    </row>
    <row r="10" spans="1:34" ht="18" x14ac:dyDescent="0.35">
      <c r="A10" t="s">
        <v>138</v>
      </c>
      <c r="B10" s="9">
        <v>2.4700000000000002</v>
      </c>
      <c r="C10">
        <v>1.929</v>
      </c>
      <c r="D10" s="8">
        <v>1.4219999999999999</v>
      </c>
      <c r="E10">
        <v>0.72</v>
      </c>
      <c r="F10">
        <v>0.14000000000000001</v>
      </c>
      <c r="G10">
        <v>0.24</v>
      </c>
      <c r="I10" s="13" t="s">
        <v>182</v>
      </c>
      <c r="J10" s="17">
        <f>B22-$B$14</f>
        <v>1.7400000000000002</v>
      </c>
      <c r="K10" s="17">
        <f>C22-$C$14</f>
        <v>1.827</v>
      </c>
      <c r="L10" s="17">
        <f>D22-$D$14</f>
        <v>1.7459999999999996</v>
      </c>
      <c r="M10" s="17">
        <f>E22-$E$14</f>
        <v>2.0700000000000003</v>
      </c>
      <c r="N10" s="17">
        <f>F22-$F$14</f>
        <v>1.8199999999999998</v>
      </c>
      <c r="O10" s="17">
        <f>G22-$G$14</f>
        <v>1.7100000000000002</v>
      </c>
      <c r="P10" s="9"/>
      <c r="Q10" s="13" t="s">
        <v>166</v>
      </c>
      <c r="R10" s="13">
        <f t="shared" si="0"/>
        <v>-51.724137931034477</v>
      </c>
      <c r="S10" s="13">
        <f t="shared" si="1"/>
        <v>-49.261083743842363</v>
      </c>
      <c r="T10" s="13">
        <f t="shared" si="2"/>
        <v>-51.546391752577335</v>
      </c>
      <c r="U10" s="13">
        <f t="shared" si="3"/>
        <v>-43.478260869565212</v>
      </c>
      <c r="V10" s="13">
        <f t="shared" si="4"/>
        <v>-49.450549450549453</v>
      </c>
      <c r="W10" s="13">
        <f t="shared" si="5"/>
        <v>-52.631578947368418</v>
      </c>
      <c r="AB10" s="1" t="s">
        <v>12</v>
      </c>
      <c r="AD10" s="1" t="s">
        <v>12</v>
      </c>
      <c r="AE10" s="15">
        <f>ABS(AE3-AH3)/AH3*100</f>
        <v>1.1763230311089929</v>
      </c>
      <c r="AF10" s="3"/>
    </row>
    <row r="11" spans="1:34" ht="18" x14ac:dyDescent="0.35">
      <c r="A11" s="10" t="s">
        <v>139</v>
      </c>
      <c r="B11" s="11">
        <v>2.54</v>
      </c>
      <c r="C11" s="10">
        <v>2.0049999999999999</v>
      </c>
      <c r="D11" s="12">
        <v>1.502</v>
      </c>
      <c r="E11" s="10">
        <v>0.83</v>
      </c>
      <c r="F11" s="10">
        <v>0.24</v>
      </c>
      <c r="G11" s="10">
        <v>0.34</v>
      </c>
      <c r="I11" t="s">
        <v>156</v>
      </c>
      <c r="AB11">
        <f>AB8/SQRT(AB2)</f>
        <v>3.3985394653049963</v>
      </c>
      <c r="AD11">
        <f>AD8/SQRT(AD2)</f>
        <v>7.1702351672837086</v>
      </c>
      <c r="AE11" s="3"/>
      <c r="AF11" s="3"/>
    </row>
    <row r="12" spans="1:34" ht="18" x14ac:dyDescent="0.35">
      <c r="A12" t="s">
        <v>140</v>
      </c>
      <c r="B12" s="9">
        <v>2.7</v>
      </c>
      <c r="C12">
        <v>2.1579999999999999</v>
      </c>
      <c r="D12" s="8">
        <v>1.6459999999999999</v>
      </c>
      <c r="E12">
        <v>0.99</v>
      </c>
      <c r="F12">
        <v>0.4</v>
      </c>
      <c r="G12">
        <v>0.5</v>
      </c>
      <c r="I12" t="s">
        <v>183</v>
      </c>
      <c r="AE12" s="3"/>
      <c r="AF12" s="3"/>
    </row>
    <row r="13" spans="1:34" ht="18" x14ac:dyDescent="0.35">
      <c r="A13" t="s">
        <v>141</v>
      </c>
      <c r="B13" s="9">
        <v>3.13</v>
      </c>
      <c r="C13">
        <v>2.6019999999999999</v>
      </c>
      <c r="D13" s="8">
        <v>2.09</v>
      </c>
      <c r="E13">
        <v>1.5</v>
      </c>
      <c r="F13">
        <v>0.9</v>
      </c>
      <c r="G13">
        <v>1</v>
      </c>
      <c r="I13" t="s">
        <v>184</v>
      </c>
    </row>
    <row r="14" spans="1:34" ht="18" x14ac:dyDescent="0.35">
      <c r="A14" s="13" t="s">
        <v>142</v>
      </c>
      <c r="B14" s="17">
        <v>3.3</v>
      </c>
      <c r="C14" s="13">
        <v>2.7759999999999998</v>
      </c>
      <c r="D14" s="18">
        <v>2.258</v>
      </c>
      <c r="E14" s="13">
        <v>1.67</v>
      </c>
      <c r="F14" s="13">
        <v>1.06</v>
      </c>
      <c r="G14" s="13">
        <v>1.1599999999999999</v>
      </c>
      <c r="R14" t="s">
        <v>151</v>
      </c>
      <c r="S14" t="s">
        <v>151</v>
      </c>
      <c r="T14" t="s">
        <v>151</v>
      </c>
      <c r="U14" t="s">
        <v>151</v>
      </c>
      <c r="V14" t="s">
        <v>151</v>
      </c>
      <c r="W14" t="s">
        <v>151</v>
      </c>
    </row>
    <row r="15" spans="1:34" ht="18" x14ac:dyDescent="0.35">
      <c r="A15" t="s">
        <v>143</v>
      </c>
      <c r="B15" s="9">
        <v>3.38</v>
      </c>
      <c r="C15">
        <v>2.8639999999999999</v>
      </c>
      <c r="D15" s="8">
        <v>2.3479999999999999</v>
      </c>
      <c r="E15">
        <v>1.78</v>
      </c>
      <c r="F15">
        <v>1.17</v>
      </c>
      <c r="G15">
        <v>1.1599999999999999</v>
      </c>
      <c r="I15" s="20" t="s">
        <v>121</v>
      </c>
      <c r="J15" s="20"/>
      <c r="L15" s="20" t="s">
        <v>153</v>
      </c>
      <c r="M15" s="20"/>
      <c r="O15" s="15" t="s">
        <v>187</v>
      </c>
      <c r="R15">
        <v>1</v>
      </c>
      <c r="S15">
        <v>2</v>
      </c>
      <c r="T15">
        <v>3</v>
      </c>
      <c r="U15">
        <v>4</v>
      </c>
      <c r="V15">
        <v>5</v>
      </c>
      <c r="W15">
        <v>6</v>
      </c>
    </row>
    <row r="16" spans="1:34" ht="18" x14ac:dyDescent="0.35">
      <c r="A16" s="13" t="s">
        <v>144</v>
      </c>
      <c r="B16" s="17">
        <v>3.57</v>
      </c>
      <c r="C16" s="13">
        <v>3.0529999999999999</v>
      </c>
      <c r="D16" s="18">
        <v>2.5259999999999998</v>
      </c>
      <c r="E16" s="13">
        <v>1.97</v>
      </c>
      <c r="F16" s="13">
        <v>1.36</v>
      </c>
      <c r="G16" s="13">
        <v>1.35</v>
      </c>
      <c r="I16" t="s">
        <v>122</v>
      </c>
      <c r="J16" t="s">
        <v>123</v>
      </c>
      <c r="L16" t="s">
        <v>18</v>
      </c>
      <c r="M16" t="s">
        <v>123</v>
      </c>
      <c r="O16" s="15" t="s">
        <v>188</v>
      </c>
      <c r="P16" t="s">
        <v>196</v>
      </c>
      <c r="Q16" s="10" t="s">
        <v>186</v>
      </c>
      <c r="R16" s="10">
        <f>2*SLOPE(R3:R6,J3:J6)</f>
        <v>23.128588681350525</v>
      </c>
      <c r="S16" s="10">
        <f t="shared" ref="S16:W16" si="6">2*SLOPE(S3:S6,K3:K6)</f>
        <v>20.983198605843647</v>
      </c>
      <c r="T16" s="10">
        <f t="shared" si="6"/>
        <v>14.49408734534677</v>
      </c>
      <c r="U16" s="10">
        <f t="shared" si="6"/>
        <v>31.107962424215014</v>
      </c>
      <c r="V16" s="10">
        <f t="shared" si="6"/>
        <v>34.847249135619222</v>
      </c>
      <c r="W16" s="10">
        <f t="shared" si="6"/>
        <v>34.847249135619201</v>
      </c>
    </row>
    <row r="17" spans="1:23" ht="18" x14ac:dyDescent="0.35">
      <c r="A17" t="s">
        <v>145</v>
      </c>
      <c r="B17" s="9">
        <v>3.77</v>
      </c>
      <c r="C17">
        <v>3.2679999999999998</v>
      </c>
      <c r="D17" s="8">
        <v>2.742</v>
      </c>
      <c r="E17">
        <v>2.14</v>
      </c>
      <c r="F17">
        <v>1.52</v>
      </c>
      <c r="G17">
        <v>1.51</v>
      </c>
      <c r="I17" t="s">
        <v>124</v>
      </c>
      <c r="J17">
        <v>120</v>
      </c>
      <c r="L17" s="10" t="s">
        <v>167</v>
      </c>
      <c r="M17" s="10">
        <f>-(J18-$J$17)</f>
        <v>22.5</v>
      </c>
      <c r="O17" s="15">
        <v>2.1</v>
      </c>
      <c r="P17">
        <f>RADIANS(O17)</f>
        <v>3.6651914291880923E-2</v>
      </c>
      <c r="Q17" s="13" t="s">
        <v>185</v>
      </c>
      <c r="R17" s="13">
        <f>2*SLOPE(R7:R10,J7:J10)</f>
        <v>39.677963216194101</v>
      </c>
      <c r="S17" s="13">
        <f t="shared" ref="S17:W17" si="7">2*SLOPE(S7:S10,K7:K10)</f>
        <v>38.599931365052093</v>
      </c>
      <c r="T17" s="13">
        <f t="shared" si="7"/>
        <v>40.973696030689737</v>
      </c>
      <c r="U17" s="13">
        <f t="shared" si="7"/>
        <v>34.462814524303504</v>
      </c>
      <c r="V17" s="13">
        <f t="shared" si="7"/>
        <v>33.145122015818558</v>
      </c>
      <c r="W17" s="13">
        <f t="shared" si="7"/>
        <v>79.745116075179737</v>
      </c>
    </row>
    <row r="18" spans="1:23" ht="18" x14ac:dyDescent="0.35">
      <c r="A18" s="13" t="s">
        <v>146</v>
      </c>
      <c r="B18" s="17">
        <v>3.99</v>
      </c>
      <c r="C18" s="13">
        <v>3.4929999999999999</v>
      </c>
      <c r="D18" s="18">
        <v>2.9580000000000002</v>
      </c>
      <c r="E18" s="13">
        <v>2.37</v>
      </c>
      <c r="F18" s="13">
        <v>1.73</v>
      </c>
      <c r="G18" s="13">
        <v>1.72</v>
      </c>
      <c r="I18" t="s">
        <v>125</v>
      </c>
      <c r="J18">
        <v>97.5</v>
      </c>
      <c r="L18" s="10" t="s">
        <v>168</v>
      </c>
      <c r="M18" s="10">
        <f>-(J19-$J$17)</f>
        <v>45</v>
      </c>
      <c r="O18">
        <v>2.1</v>
      </c>
    </row>
    <row r="19" spans="1:23" ht="18" x14ac:dyDescent="0.35">
      <c r="A19" t="s">
        <v>147</v>
      </c>
      <c r="B19" s="9">
        <v>4.16</v>
      </c>
      <c r="C19">
        <v>3.669</v>
      </c>
      <c r="D19" s="8">
        <v>3.13</v>
      </c>
      <c r="E19">
        <v>2.57</v>
      </c>
      <c r="F19">
        <v>1.92</v>
      </c>
      <c r="G19">
        <v>1.91</v>
      </c>
      <c r="I19" t="s">
        <v>126</v>
      </c>
      <c r="J19">
        <v>75</v>
      </c>
      <c r="L19" s="10" t="s">
        <v>169</v>
      </c>
      <c r="M19" s="10">
        <f>-(J20-$J$17)</f>
        <v>67.5</v>
      </c>
      <c r="O19" s="14" t="s">
        <v>189</v>
      </c>
    </row>
    <row r="20" spans="1:23" ht="18" x14ac:dyDescent="0.35">
      <c r="A20" s="13" t="s">
        <v>148</v>
      </c>
      <c r="B20" s="17">
        <v>4.2</v>
      </c>
      <c r="C20" s="13">
        <v>3.948</v>
      </c>
      <c r="D20" s="18">
        <v>3.3940000000000001</v>
      </c>
      <c r="E20" s="13">
        <v>2.86</v>
      </c>
      <c r="F20" s="13">
        <v>2.19</v>
      </c>
      <c r="G20" s="13">
        <v>2.1800000000000002</v>
      </c>
      <c r="I20" t="s">
        <v>127</v>
      </c>
      <c r="J20">
        <v>52.5</v>
      </c>
      <c r="L20" s="10" t="s">
        <v>170</v>
      </c>
      <c r="M20" s="10">
        <f>-(J21-$J$17)</f>
        <v>90</v>
      </c>
      <c r="O20" s="14" t="s">
        <v>188</v>
      </c>
    </row>
    <row r="21" spans="1:23" ht="18" x14ac:dyDescent="0.35">
      <c r="A21" t="s">
        <v>149</v>
      </c>
      <c r="B21" s="9">
        <v>4.66</v>
      </c>
      <c r="C21">
        <v>4.1909999999999998</v>
      </c>
      <c r="D21" s="8">
        <v>3.63</v>
      </c>
      <c r="E21">
        <v>3.18</v>
      </c>
      <c r="F21">
        <v>2.46</v>
      </c>
      <c r="G21">
        <v>2.4500000000000002</v>
      </c>
      <c r="I21" t="s">
        <v>128</v>
      </c>
      <c r="J21">
        <v>30</v>
      </c>
      <c r="L21" s="13" t="s">
        <v>171</v>
      </c>
      <c r="M21" s="13">
        <f>-M17</f>
        <v>-22.5</v>
      </c>
      <c r="O21" s="14">
        <v>0.1</v>
      </c>
      <c r="P21">
        <f>RADIANS(O21)</f>
        <v>1.7453292519943296E-3</v>
      </c>
    </row>
    <row r="22" spans="1:23" ht="18" x14ac:dyDescent="0.35">
      <c r="A22" s="13" t="s">
        <v>150</v>
      </c>
      <c r="B22" s="17">
        <v>5.04</v>
      </c>
      <c r="C22" s="13">
        <v>4.6029999999999998</v>
      </c>
      <c r="D22" s="18">
        <v>4.0039999999999996</v>
      </c>
      <c r="E22" s="13">
        <v>3.74</v>
      </c>
      <c r="F22" s="13">
        <v>2.88</v>
      </c>
      <c r="G22" s="13">
        <v>2.87</v>
      </c>
      <c r="L22" s="13" t="s">
        <v>172</v>
      </c>
      <c r="M22" s="13">
        <f t="shared" ref="M22:M24" si="8">-M18</f>
        <v>-45</v>
      </c>
    </row>
    <row r="23" spans="1:23" ht="18" x14ac:dyDescent="0.35">
      <c r="L23" s="13" t="s">
        <v>173</v>
      </c>
      <c r="M23" s="13">
        <f t="shared" si="8"/>
        <v>-67.5</v>
      </c>
    </row>
    <row r="24" spans="1:23" ht="18" x14ac:dyDescent="0.35">
      <c r="L24" s="13" t="s">
        <v>174</v>
      </c>
      <c r="M24" s="13">
        <f t="shared" si="8"/>
        <v>-90</v>
      </c>
    </row>
  </sheetData>
  <mergeCells count="2">
    <mergeCell ref="I15:J15"/>
    <mergeCell ref="L15:M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N8" sqref="N8"/>
    </sheetView>
  </sheetViews>
  <sheetFormatPr defaultRowHeight="15" x14ac:dyDescent="0.25"/>
  <cols>
    <col min="1" max="1" width="9.140625" customWidth="1"/>
    <col min="4" max="4" width="9.85546875" customWidth="1"/>
    <col min="17" max="17" width="7.140625" customWidth="1"/>
    <col min="18" max="18" width="6.7109375" customWidth="1"/>
  </cols>
  <sheetData>
    <row r="1" spans="1:22" ht="19.5" thickBot="1" x14ac:dyDescent="0.4">
      <c r="A1" s="27" t="s">
        <v>2</v>
      </c>
      <c r="B1" s="28"/>
      <c r="C1" s="1" t="s">
        <v>48</v>
      </c>
      <c r="D1" s="1" t="s">
        <v>4</v>
      </c>
      <c r="E1" s="27" t="s">
        <v>5</v>
      </c>
      <c r="F1" s="28"/>
      <c r="G1" s="1" t="s">
        <v>48</v>
      </c>
      <c r="H1" s="1" t="s">
        <v>18</v>
      </c>
      <c r="I1" s="1" t="s">
        <v>4</v>
      </c>
      <c r="K1" s="21" t="s">
        <v>92</v>
      </c>
      <c r="L1" s="22"/>
      <c r="M1" s="23"/>
      <c r="P1" s="24" t="s">
        <v>64</v>
      </c>
      <c r="Q1" s="25"/>
      <c r="R1" s="25"/>
      <c r="S1" s="26"/>
    </row>
    <row r="2" spans="1:22" ht="15.75" thickBot="1" x14ac:dyDescent="0.3">
      <c r="A2" s="24" t="s">
        <v>65</v>
      </c>
      <c r="B2" s="26"/>
      <c r="C2" s="1" t="s">
        <v>12</v>
      </c>
      <c r="D2">
        <f>COUNT(C:C)</f>
        <v>8</v>
      </c>
      <c r="E2" s="24" t="s">
        <v>68</v>
      </c>
      <c r="F2" s="26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27" t="s">
        <v>91</v>
      </c>
      <c r="Q2" s="30"/>
      <c r="R2" s="30"/>
      <c r="S2" s="28"/>
    </row>
    <row r="3" spans="1:22" ht="15.75" thickBot="1" x14ac:dyDescent="0.3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21" t="s">
        <v>119</v>
      </c>
      <c r="L3" s="22"/>
      <c r="M3" s="23"/>
      <c r="P3" s="5" t="s">
        <v>19</v>
      </c>
      <c r="Q3" s="4" t="s">
        <v>19</v>
      </c>
      <c r="R3" s="5" t="s">
        <v>20</v>
      </c>
      <c r="S3" s="4" t="s">
        <v>20</v>
      </c>
      <c r="T3" s="21" t="s">
        <v>94</v>
      </c>
      <c r="U3" s="22"/>
      <c r="V3" s="23"/>
    </row>
    <row r="4" spans="1:22" x14ac:dyDescent="0.25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 x14ac:dyDescent="0.3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 x14ac:dyDescent="0.4">
      <c r="A6" s="6" t="s">
        <v>100</v>
      </c>
      <c r="B6" s="6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21" t="s">
        <v>108</v>
      </c>
      <c r="L6" s="22"/>
      <c r="M6" s="23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 x14ac:dyDescent="0.25">
      <c r="A7" s="6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 x14ac:dyDescent="0.3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 x14ac:dyDescent="0.4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21" t="s">
        <v>113</v>
      </c>
      <c r="L9" s="22"/>
      <c r="M9" s="23"/>
      <c r="P9" s="5" t="s">
        <v>29</v>
      </c>
      <c r="Q9" s="4" t="s">
        <v>29</v>
      </c>
      <c r="R9" s="5" t="s">
        <v>30</v>
      </c>
      <c r="S9" s="4" t="s">
        <v>30</v>
      </c>
    </row>
    <row r="10" spans="1:22" x14ac:dyDescent="0.25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 x14ac:dyDescent="0.35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 x14ac:dyDescent="0.25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 x14ac:dyDescent="0.25">
      <c r="C13" s="31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 x14ac:dyDescent="0.35">
      <c r="C14" s="31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 x14ac:dyDescent="0.25">
      <c r="C15" s="31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 x14ac:dyDescent="0.25">
      <c r="C16" s="31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 x14ac:dyDescent="0.35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 x14ac:dyDescent="0.25">
      <c r="B18" s="7"/>
      <c r="C18" s="7"/>
      <c r="D18" s="7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 x14ac:dyDescent="0.25">
      <c r="A19" s="29" t="s">
        <v>118</v>
      </c>
      <c r="B19" s="29"/>
      <c r="C19" s="29"/>
      <c r="D19" s="29"/>
      <c r="G19" s="31" t="s">
        <v>112</v>
      </c>
      <c r="H19" s="31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 x14ac:dyDescent="0.3">
      <c r="A20" s="29"/>
      <c r="B20" s="29"/>
      <c r="C20" s="29"/>
      <c r="D20" s="29"/>
      <c r="G20" s="31"/>
      <c r="H20" s="31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 x14ac:dyDescent="0.3">
      <c r="A21" s="29"/>
      <c r="B21" s="29"/>
      <c r="C21" s="29"/>
      <c r="D21" s="29"/>
      <c r="I21" s="21" t="s">
        <v>69</v>
      </c>
      <c r="J21" s="22"/>
      <c r="K21" s="23"/>
      <c r="P21" s="5" t="s">
        <v>44</v>
      </c>
      <c r="Q21" s="4" t="s">
        <v>44</v>
      </c>
      <c r="R21" s="5" t="s">
        <v>57</v>
      </c>
      <c r="S21" s="4" t="s">
        <v>57</v>
      </c>
    </row>
    <row r="22" spans="1:19" x14ac:dyDescent="0.25">
      <c r="A22" s="29"/>
      <c r="B22" s="29"/>
      <c r="C22" s="29"/>
      <c r="D22" s="29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 x14ac:dyDescent="0.25">
      <c r="A23" s="29"/>
      <c r="B23" s="29"/>
      <c r="C23" s="29"/>
      <c r="D23" s="29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 x14ac:dyDescent="0.25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 x14ac:dyDescent="0.25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 x14ac:dyDescent="0.25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 x14ac:dyDescent="0.25">
      <c r="P27" s="5" t="s">
        <v>18</v>
      </c>
      <c r="Q27" s="4" t="s">
        <v>18</v>
      </c>
      <c r="R27" s="5" t="s">
        <v>62</v>
      </c>
      <c r="S27" s="4" t="s">
        <v>62</v>
      </c>
    </row>
    <row r="28" spans="1:19" x14ac:dyDescent="0.25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 x14ac:dyDescent="0.25">
      <c r="A29" t="s">
        <v>105</v>
      </c>
    </row>
    <row r="35" spans="9:9" x14ac:dyDescent="0.25">
      <c r="I35" t="s">
        <v>74</v>
      </c>
    </row>
    <row r="36" spans="9:9" ht="17.25" x14ac:dyDescent="0.25">
      <c r="I36" t="s">
        <v>75</v>
      </c>
    </row>
    <row r="46" spans="9:9" x14ac:dyDescent="0.25">
      <c r="I46" t="s">
        <v>76</v>
      </c>
    </row>
    <row r="47" spans="9:9" x14ac:dyDescent="0.25">
      <c r="I47" t="s">
        <v>77</v>
      </c>
    </row>
    <row r="48" spans="9:9" x14ac:dyDescent="0.25">
      <c r="I48" t="s">
        <v>78</v>
      </c>
    </row>
    <row r="49" spans="9:9" x14ac:dyDescent="0.25">
      <c r="I49" t="s">
        <v>79</v>
      </c>
    </row>
    <row r="59" spans="9:9" x14ac:dyDescent="0.25">
      <c r="I59" t="s">
        <v>80</v>
      </c>
    </row>
    <row r="60" spans="9:9" x14ac:dyDescent="0.25">
      <c r="I60" t="s">
        <v>81</v>
      </c>
    </row>
    <row r="61" spans="9:9" x14ac:dyDescent="0.25">
      <c r="I61" t="s">
        <v>82</v>
      </c>
    </row>
    <row r="71" spans="9:16" x14ac:dyDescent="0.25">
      <c r="I71" t="s">
        <v>83</v>
      </c>
      <c r="M71" s="1" t="s">
        <v>48</v>
      </c>
      <c r="N71" s="1" t="s">
        <v>45</v>
      </c>
    </row>
    <row r="72" spans="9:16" x14ac:dyDescent="0.25">
      <c r="I72" t="s">
        <v>87</v>
      </c>
      <c r="M72" s="1" t="s">
        <v>12</v>
      </c>
      <c r="N72" s="1" t="s">
        <v>67</v>
      </c>
    </row>
    <row r="73" spans="9:16" x14ac:dyDescent="0.25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 x14ac:dyDescent="0.25">
      <c r="I74" t="s">
        <v>84</v>
      </c>
      <c r="M74">
        <v>-1</v>
      </c>
      <c r="N74">
        <v>0.84031349029360847</v>
      </c>
    </row>
    <row r="75" spans="9:16" x14ac:dyDescent="0.25">
      <c r="I75" t="s">
        <v>85</v>
      </c>
      <c r="M75">
        <v>0</v>
      </c>
      <c r="N75">
        <v>0.24456025181718824</v>
      </c>
    </row>
    <row r="76" spans="9:16" x14ac:dyDescent="0.25">
      <c r="M76">
        <v>1</v>
      </c>
      <c r="N76">
        <v>-1.6291120609012069</v>
      </c>
    </row>
    <row r="77" spans="9:16" x14ac:dyDescent="0.25">
      <c r="M77">
        <v>2</v>
      </c>
      <c r="N77">
        <v>-1.9941606398553142</v>
      </c>
    </row>
    <row r="91" spans="9:9" x14ac:dyDescent="0.25">
      <c r="I91" t="s">
        <v>88</v>
      </c>
    </row>
    <row r="92" spans="9:9" x14ac:dyDescent="0.25">
      <c r="I92" t="s">
        <v>89</v>
      </c>
    </row>
    <row r="93" spans="9:9" x14ac:dyDescent="0.25">
      <c r="I93" t="s">
        <v>90</v>
      </c>
    </row>
  </sheetData>
  <mergeCells count="15">
    <mergeCell ref="A19:D23"/>
    <mergeCell ref="T3:V3"/>
    <mergeCell ref="K6:M6"/>
    <mergeCell ref="K9:M9"/>
    <mergeCell ref="P2:S2"/>
    <mergeCell ref="I21:K21"/>
    <mergeCell ref="C13:C16"/>
    <mergeCell ref="G19:H20"/>
    <mergeCell ref="K3:M3"/>
    <mergeCell ref="K1:M1"/>
    <mergeCell ref="P1:S1"/>
    <mergeCell ref="A2:B2"/>
    <mergeCell ref="A1:B1"/>
    <mergeCell ref="E2:F2"/>
    <mergeCell ref="E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2020-04-15T15:27:45Z</dcterms:modified>
</cp:coreProperties>
</file>