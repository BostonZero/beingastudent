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filterPrivacy="1" codeName="ThisWorkbook" defaultThemeVersion="124226"/>
  <xr:revisionPtr revIDLastSave="469" documentId="8_{02B9070B-5720-4E38-AF4B-7C0A67B778A2}" xr6:coauthVersionLast="45" xr6:coauthVersionMax="45" xr10:uidLastSave="{1C46B007-1A62-45D7-A532-6B8CA9FFF9D6}"/>
  <bookViews>
    <workbookView xWindow="38280" yWindow="-120" windowWidth="38640" windowHeight="21840" xr2:uid="{00000000-000D-0000-FFFF-FFFF00000000}"/>
  </bookViews>
  <sheets>
    <sheet name="Sheet1" sheetId="15" r:id="rId1"/>
    <sheet name="Help Sheet" sheetId="5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15" l="1"/>
  <c r="K9" i="15"/>
  <c r="Q4" i="15"/>
  <c r="P4" i="15"/>
  <c r="Q3" i="15"/>
  <c r="P3" i="15"/>
  <c r="D5" i="15"/>
  <c r="D3" i="15"/>
  <c r="K5" i="15"/>
  <c r="H7" i="15"/>
  <c r="I7" i="15"/>
  <c r="H6" i="15"/>
  <c r="I6" i="15"/>
  <c r="J2" i="15"/>
  <c r="H5" i="15"/>
  <c r="I5" i="15"/>
  <c r="H4" i="15"/>
  <c r="I4" i="15"/>
  <c r="J5" i="15"/>
  <c r="H3" i="15"/>
  <c r="I3" i="15"/>
  <c r="H2" i="15"/>
  <c r="I2" i="15"/>
  <c r="J16" i="15"/>
  <c r="J8" i="15"/>
  <c r="K7" i="15"/>
  <c r="F7" i="15"/>
  <c r="F6" i="15"/>
  <c r="F5" i="15"/>
  <c r="F4" i="15"/>
  <c r="F3" i="15"/>
  <c r="F2" i="15"/>
  <c r="D7" i="15"/>
  <c r="D6" i="15"/>
  <c r="D4" i="15"/>
  <c r="D2" i="15"/>
  <c r="C7" i="15"/>
  <c r="C6" i="15"/>
  <c r="C5" i="15"/>
  <c r="C4" i="15"/>
  <c r="C3" i="15"/>
  <c r="C2" i="15"/>
  <c r="J19" i="15"/>
  <c r="J10" i="15"/>
  <c r="J13" i="15"/>
  <c r="L5" i="5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/>
  <c r="D8" i="5"/>
  <c r="I13" i="5"/>
  <c r="I10" i="5"/>
  <c r="I8" i="5"/>
  <c r="I5" i="5"/>
  <c r="I2" i="5"/>
  <c r="D2" i="5"/>
  <c r="I16" i="5"/>
  <c r="I19" i="5"/>
  <c r="D11" i="5"/>
</calcChain>
</file>

<file path=xl/sharedStrings.xml><?xml version="1.0" encoding="utf-8"?>
<sst xmlns="http://schemas.openxmlformats.org/spreadsheetml/2006/main" count="225" uniqueCount="137">
  <si>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</si>
  <si>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</si>
  <si>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</si>
  <si>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</si>
  <si>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</si>
  <si>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</si>
  <si>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</si>
  <si>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</si>
  <si>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</si>
  <si>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</si>
  <si>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</si>
  <si>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</si>
  <si>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</si>
  <si>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</si>
  <si>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</si>
  <si>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</si>
  <si>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</si>
  <si>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</si>
  <si>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</si>
  <si>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</si>
  <si>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</si>
  <si>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</si>
  <si>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</si>
  <si>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</si>
  <si>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</si>
  <si>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</si>
  <si>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</si>
  <si>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</si>
  <si>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</si>
  <si>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</si>
  <si>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</si>
  <si>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</si>
  <si>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</si>
  <si>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</si>
  <si>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</si>
  <si>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</si>
  <si>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</si>
  <si>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</si>
  <si>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</si>
  <si>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</si>
  <si>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</si>
  <si>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</si>
  <si>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</si>
  <si>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</si>
  <si>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</si>
  <si>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</si>
  <si>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</si>
  <si>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</si>
  <si>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</si>
  <si>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</si>
  <si>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</si>
  <si>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</si>
  <si>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</si>
  <si>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</si>
  <si>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</si>
  <si>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</si>
  <si>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</si>
  <si>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</si>
  <si>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</si>
  <si>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</si>
  <si>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</si>
  <si>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</si>
  <si>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</si>
  <si>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</si>
  <si>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</si>
  <si>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</si>
  <si>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</si>
  <si>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</si>
  <si>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</si>
  <si>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</si>
  <si>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</si>
  <si>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</si>
  <si>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</si>
  <si>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</si>
  <si>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</si>
  <si>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</si>
  <si>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</si>
  <si>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</si>
  <si>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</si>
  <si>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</si>
  <si>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</si>
  <si>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</si>
  <si>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</si>
  <si>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</si>
  <si>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</si>
  <si>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</si>
  <si>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</si>
  <si>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</si>
  <si>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</si>
  <si>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</si>
  <si>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</si>
  <si>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</si>
  <si>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</si>
  <si>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</si>
  <si>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</si>
  <si>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</si>
  <si>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</si>
  <si>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</si>
  <si>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</si>
  <si>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</si>
  <si>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</si>
  <si>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</si>
  <si>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</si>
  <si>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</si>
  <si>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</si>
  <si>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</si>
  <si>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</si>
  <si>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</si>
  <si>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</si>
  <si>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</si>
  <si>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</si>
  <si>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</si>
  <si>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</si>
  <si>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</si>
  <si>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</si>
  <si>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</si>
  <si>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</si>
  <si>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</si>
  <si>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</si>
  <si>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</si>
  <si>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</si>
  <si>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t>g (m/s2)</t>
  </si>
  <si>
    <t>mass, m(g)</t>
  </si>
  <si>
    <t>mass, m (kg)</t>
  </si>
  <si>
    <t>weight, W (N)</t>
  </si>
  <si>
    <t>displacement, r (cm)</t>
  </si>
  <si>
    <t>displacement, r (m)</t>
  </si>
  <si>
    <t>Unknown sets</t>
  </si>
  <si>
    <t>r (cm)</t>
  </si>
  <si>
    <t>r (m)</t>
  </si>
  <si>
    <t>m (kg)</t>
  </si>
  <si>
    <t>K(N/m)</t>
  </si>
  <si>
    <t>k (N/m)</t>
  </si>
  <si>
    <t>re</t>
  </si>
  <si>
    <t>sk</t>
  </si>
  <si>
    <t>sre</t>
  </si>
  <si>
    <t>N/m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</si>
</sst>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92D050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11" fillId="5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/>
    <xf numFmtId="0" fontId="13" fillId="0" borderId="10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5" borderId="14" xfId="0" applyFont="1" applyFill="1" applyBorder="1" applyAlignment="1">
      <alignment horizontal="center"/>
    </xf>
    <xf numFmtId="0" fontId="13" fillId="5" borderId="12" xfId="0" applyFont="1" applyFill="1" applyBorder="1" applyAlignment="1">
      <alignment horizontal="center"/>
    </xf>
    <xf numFmtId="0" fontId="11" fillId="0" borderId="0" xfId="0" applyFont="1"/>
    <xf numFmtId="0" fontId="13" fillId="0" borderId="14" xfId="0" applyFont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3" fillId="0" borderId="14" xfId="0" applyFont="1" applyBorder="1" applyAlignment="1">
      <alignment horizontal="right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13" xfId="0" applyFont="1" applyBorder="1" applyAlignment="1">
      <alignment horizontal="right"/>
    </xf>
    <xf numFmtId="0" fontId="18" fillId="0" borderId="0" xfId="0" applyFont="1" applyAlignment="1">
      <alignment horizontal="center"/>
    </xf>
    <xf numFmtId="0" fontId="13" fillId="5" borderId="11" xfId="0" applyFont="1" applyFill="1" applyBorder="1" applyAlignment="1">
      <alignment horizontal="center"/>
    </xf>
    <xf numFmtId="0" fontId="14" fillId="0" borderId="11" xfId="0" applyFont="1" applyBorder="1"/>
    <xf numFmtId="0" fontId="14" fillId="0" borderId="12" xfId="0" applyFont="1" applyBorder="1"/>
    <xf numFmtId="0" fontId="0" fillId="4" borderId="0" xfId="0" applyFill="1" applyAlignment="1">
      <alignment horizontal="left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59-2442-89AC-9E328FE48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22704"/>
        <c:axId val="299146384"/>
      </c:scatterChart>
      <c:valAx>
        <c:axId val="234122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146384"/>
        <c:crosses val="autoZero"/>
        <c:crossBetween val="midCat"/>
      </c:valAx>
      <c:valAx>
        <c:axId val="299146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412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B2-B240-949D-BFC1E34FE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50864"/>
        <c:axId val="299151424"/>
      </c:scatterChart>
      <c:valAx>
        <c:axId val="29915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151424"/>
        <c:crosses val="autoZero"/>
        <c:crossBetween val="midCat"/>
      </c:valAx>
      <c:valAx>
        <c:axId val="299151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15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3C-BC49-9036-C9772EE64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53664"/>
        <c:axId val="301049792"/>
      </c:scatterChart>
      <c:valAx>
        <c:axId val="29915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49792"/>
        <c:crosses val="autoZero"/>
        <c:crossBetween val="midCat"/>
      </c:valAx>
      <c:valAx>
        <c:axId val="301049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91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F0-B544-845B-A7E401E76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52032"/>
        <c:axId val="301052592"/>
      </c:scatterChart>
      <c:valAx>
        <c:axId val="301052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52592"/>
        <c:crosses val="autoZero"/>
        <c:crossBetween val="midCat"/>
      </c:valAx>
      <c:valAx>
        <c:axId val="301052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52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9E-E449-B7C1-8804F77ADB16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9E-E449-B7C1-8804F77AD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055392"/>
        <c:axId val="301055952"/>
      </c:scatterChart>
      <c:valAx>
        <c:axId val="301055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55952"/>
        <c:crosses val="autoZero"/>
        <c:crossBetween val="midCat"/>
      </c:valAx>
      <c:valAx>
        <c:axId val="301055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105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DD-EA43-AC3A-56325CD836B6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DD-EA43-AC3A-56325CD83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829152"/>
        <c:axId val="300829712"/>
      </c:scatterChart>
      <c:valAx>
        <c:axId val="30082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0829712"/>
        <c:crosses val="autoZero"/>
        <c:crossBetween val="midCat"/>
      </c:valAx>
      <c:valAx>
        <c:axId val="30082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00829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1D676-C0F1-D842-B8A7-AE487E810902}">
  <dimension ref="A1:R19"/>
  <sheetViews>
    <sheetView tabSelected="1" topLeftCell="A10" zoomScale="85" zoomScaleNormal="85" workbookViewId="0">
      <selection activeCell="K7" sqref="K7"/>
    </sheetView>
  </sheetViews>
  <sheetFormatPr defaultColWidth="11.5703125" defaultRowHeight="15" x14ac:dyDescent="0.25"/>
  <cols>
    <col min="1" max="1" width="8.28515625" bestFit="1" customWidth="1"/>
    <col min="2" max="2" width="10.42578125" bestFit="1" customWidth="1"/>
    <col min="3" max="3" width="11.7109375" bestFit="1" customWidth="1"/>
    <col min="4" max="4" width="15" customWidth="1"/>
    <col min="5" max="5" width="22.5703125" customWidth="1"/>
    <col min="6" max="6" width="20.28515625" customWidth="1"/>
    <col min="8" max="8" width="14.42578125" customWidth="1"/>
    <col min="9" max="9" width="21.28515625" customWidth="1"/>
  </cols>
  <sheetData>
    <row r="1" spans="1:18" ht="15.75" x14ac:dyDescent="0.25">
      <c r="A1" s="9" t="s">
        <v>121</v>
      </c>
      <c r="B1" s="9" t="s">
        <v>122</v>
      </c>
      <c r="C1" s="9" t="s">
        <v>123</v>
      </c>
      <c r="D1" s="9" t="s">
        <v>124</v>
      </c>
      <c r="E1" s="9" t="s">
        <v>125</v>
      </c>
      <c r="F1" s="9" t="s">
        <v>126</v>
      </c>
      <c r="G1" s="10"/>
      <c r="H1" s="9" t="s">
        <v>124</v>
      </c>
      <c r="I1" s="9" t="s">
        <v>126</v>
      </c>
      <c r="J1" s="22" t="s">
        <v>4</v>
      </c>
      <c r="K1" s="11"/>
      <c r="L1" s="12"/>
      <c r="M1" s="13"/>
      <c r="N1" s="26" t="s">
        <v>127</v>
      </c>
      <c r="O1" s="27"/>
      <c r="P1" s="28"/>
      <c r="Q1" s="12"/>
      <c r="R1" s="12"/>
    </row>
    <row r="2" spans="1:18" ht="15.75" x14ac:dyDescent="0.25">
      <c r="A2" s="10">
        <v>9.8034999999999997</v>
      </c>
      <c r="B2" s="10">
        <v>60</v>
      </c>
      <c r="C2" s="10">
        <f>B2/1000</f>
        <v>0.06</v>
      </c>
      <c r="D2" s="10">
        <f>C2*$A$2</f>
        <v>0.58821000000000001</v>
      </c>
      <c r="E2" s="10">
        <v>22</v>
      </c>
      <c r="F2" s="14">
        <f>E2/100</f>
        <v>0.22</v>
      </c>
      <c r="G2" s="14"/>
      <c r="H2" s="14">
        <f>D2</f>
        <v>0.58821000000000001</v>
      </c>
      <c r="I2" s="14">
        <f>F2</f>
        <v>0.22</v>
      </c>
      <c r="J2" s="14">
        <f>IF(COUNT(H:H)=COUNT(I:I),COUNT(H:H), "Your numbers do not match!")</f>
        <v>6</v>
      </c>
      <c r="K2" s="12"/>
      <c r="L2" s="12"/>
      <c r="M2" s="15"/>
      <c r="N2" s="16" t="s">
        <v>128</v>
      </c>
      <c r="O2" s="16" t="s">
        <v>129</v>
      </c>
      <c r="P2" s="16" t="s">
        <v>130</v>
      </c>
      <c r="Q2" s="17" t="s">
        <v>131</v>
      </c>
      <c r="R2" s="14"/>
    </row>
    <row r="3" spans="1:18" ht="15.75" x14ac:dyDescent="0.25">
      <c r="A3" s="18"/>
      <c r="B3" s="10">
        <v>110</v>
      </c>
      <c r="C3" s="10">
        <f t="shared" ref="C3:C7" si="0">B3/1000</f>
        <v>0.11</v>
      </c>
      <c r="D3" s="10">
        <f>C3*$A$2</f>
        <v>1.0783849999999999</v>
      </c>
      <c r="E3" s="10">
        <v>30</v>
      </c>
      <c r="F3" s="14">
        <f t="shared" ref="F3:F7" si="1">E3/100</f>
        <v>0.3</v>
      </c>
      <c r="G3" s="25"/>
      <c r="H3" s="14">
        <f t="shared" ref="H3:H7" si="2">D3</f>
        <v>1.0783849999999999</v>
      </c>
      <c r="I3" s="14">
        <f t="shared" ref="I3:I7" si="3">F3</f>
        <v>0.3</v>
      </c>
      <c r="J3" s="23" t="s">
        <v>6</v>
      </c>
      <c r="K3" s="11"/>
      <c r="L3" s="12"/>
      <c r="M3" s="15">
        <v>1</v>
      </c>
      <c r="N3" s="19">
        <v>73</v>
      </c>
      <c r="O3" s="19">
        <v>0.73</v>
      </c>
      <c r="P3" s="19">
        <f>(K5*(O3-K7))/A2</f>
        <v>0.3720901689148135</v>
      </c>
      <c r="Q3" s="19">
        <f>K5</f>
        <v>5.9971830113014937</v>
      </c>
      <c r="R3" s="14"/>
    </row>
    <row r="4" spans="1:18" ht="15.75" x14ac:dyDescent="0.25">
      <c r="A4" s="18"/>
      <c r="B4" s="10">
        <v>160</v>
      </c>
      <c r="C4" s="10">
        <f t="shared" si="0"/>
        <v>0.16</v>
      </c>
      <c r="D4" s="10">
        <f t="shared" ref="D4:D7" si="4">C4*$A$2</f>
        <v>1.56856</v>
      </c>
      <c r="E4" s="10">
        <v>38.5</v>
      </c>
      <c r="F4" s="14">
        <f t="shared" si="1"/>
        <v>0.38500000000000001</v>
      </c>
      <c r="G4" s="25"/>
      <c r="H4" s="14">
        <f t="shared" si="2"/>
        <v>1.56856</v>
      </c>
      <c r="I4" s="14">
        <f t="shared" si="3"/>
        <v>0.38500000000000001</v>
      </c>
      <c r="J4" s="23" t="s">
        <v>12</v>
      </c>
      <c r="K4" s="20" t="s">
        <v>132</v>
      </c>
      <c r="L4" s="12"/>
      <c r="M4" s="15">
        <v>2</v>
      </c>
      <c r="N4" s="19">
        <v>48.5</v>
      </c>
      <c r="O4" s="19">
        <v>0.48499999999999999</v>
      </c>
      <c r="P4" s="19">
        <f>P3</f>
        <v>0.3720901689148135</v>
      </c>
      <c r="Q4" s="21">
        <f>P4*A2/O4-K7</f>
        <v>7.3994580882143239</v>
      </c>
      <c r="R4" s="12"/>
    </row>
    <row r="5" spans="1:18" ht="15.75" x14ac:dyDescent="0.25">
      <c r="A5" s="18"/>
      <c r="B5" s="10">
        <v>220</v>
      </c>
      <c r="C5" s="10">
        <f t="shared" si="0"/>
        <v>0.22</v>
      </c>
      <c r="D5" s="10">
        <f>C5*$A$2</f>
        <v>2.1567699999999999</v>
      </c>
      <c r="E5" s="10">
        <v>48</v>
      </c>
      <c r="F5" s="14">
        <f t="shared" si="1"/>
        <v>0.48</v>
      </c>
      <c r="G5" s="25"/>
      <c r="H5" s="14">
        <f t="shared" si="2"/>
        <v>2.1567699999999999</v>
      </c>
      <c r="I5" s="14">
        <f t="shared" si="3"/>
        <v>0.48</v>
      </c>
      <c r="J5" s="14">
        <f>SLOPE(I:I,H:H)</f>
        <v>0.16674495310807308</v>
      </c>
      <c r="K5" s="24">
        <f>1/J5</f>
        <v>5.9971830113014937</v>
      </c>
      <c r="L5" s="12"/>
      <c r="M5" s="12"/>
      <c r="N5" s="14"/>
      <c r="O5" s="12"/>
      <c r="P5" s="12"/>
      <c r="Q5" s="12"/>
      <c r="R5" s="12"/>
    </row>
    <row r="6" spans="1:18" ht="15.75" x14ac:dyDescent="0.25">
      <c r="B6" s="10">
        <v>260</v>
      </c>
      <c r="C6" s="10">
        <f t="shared" si="0"/>
        <v>0.26</v>
      </c>
      <c r="D6" s="10">
        <f t="shared" si="4"/>
        <v>2.5489099999999998</v>
      </c>
      <c r="E6" s="10">
        <v>55</v>
      </c>
      <c r="F6" s="14">
        <f t="shared" si="1"/>
        <v>0.55000000000000004</v>
      </c>
      <c r="H6" s="14">
        <f t="shared" si="2"/>
        <v>2.5489099999999998</v>
      </c>
      <c r="I6" s="14">
        <f t="shared" si="3"/>
        <v>0.55000000000000004</v>
      </c>
      <c r="J6" s="1" t="s">
        <v>7</v>
      </c>
      <c r="K6" t="s">
        <v>133</v>
      </c>
    </row>
    <row r="7" spans="1:18" ht="15.75" x14ac:dyDescent="0.25">
      <c r="B7" s="10">
        <v>300</v>
      </c>
      <c r="C7" s="10">
        <f t="shared" si="0"/>
        <v>0.3</v>
      </c>
      <c r="D7" s="10">
        <f t="shared" si="4"/>
        <v>2.9410499999999997</v>
      </c>
      <c r="E7" s="10">
        <v>61</v>
      </c>
      <c r="F7" s="14">
        <f t="shared" si="1"/>
        <v>0.61</v>
      </c>
      <c r="H7" s="14">
        <f t="shared" si="2"/>
        <v>2.9410499999999997</v>
      </c>
      <c r="I7" s="14">
        <f t="shared" si="3"/>
        <v>0.61</v>
      </c>
      <c r="J7" s="1" t="s">
        <v>0</v>
      </c>
      <c r="K7">
        <f>J8</f>
        <v>0.12175009932459263</v>
      </c>
    </row>
    <row r="8" spans="1:18" ht="15.75" x14ac:dyDescent="0.25">
      <c r="C8" s="10"/>
      <c r="D8" s="10"/>
      <c r="E8" s="10"/>
      <c r="F8" s="14"/>
      <c r="H8" s="14"/>
      <c r="I8" s="14"/>
      <c r="J8">
        <f>INTERCEPT(I:I,H:H)</f>
        <v>0.12175009932459263</v>
      </c>
      <c r="K8" t="s">
        <v>134</v>
      </c>
    </row>
    <row r="9" spans="1:18" ht="17.25" x14ac:dyDescent="0.25">
      <c r="C9" s="10"/>
      <c r="D9" s="10"/>
      <c r="E9" s="10"/>
      <c r="F9" s="14"/>
      <c r="H9" s="14"/>
      <c r="I9" s="14"/>
      <c r="J9" s="1" t="s">
        <v>8</v>
      </c>
      <c r="K9">
        <f>J16/J5^2</f>
        <v>4.2357474918977428E-2</v>
      </c>
    </row>
    <row r="10" spans="1:18" x14ac:dyDescent="0.25">
      <c r="J10">
        <f>RSQ(I:I,H:H)</f>
        <v>0.99980050185477021</v>
      </c>
      <c r="K10" t="s">
        <v>135</v>
      </c>
    </row>
    <row r="11" spans="1:18" ht="18" x14ac:dyDescent="0.35">
      <c r="J11" s="1" t="s">
        <v>16</v>
      </c>
      <c r="K11">
        <f>J19</f>
        <v>2.3439753726924042E-3</v>
      </c>
    </row>
    <row r="12" spans="1:18" x14ac:dyDescent="0.25">
      <c r="J12" s="1" t="s">
        <v>12</v>
      </c>
    </row>
    <row r="13" spans="1:18" x14ac:dyDescent="0.25">
      <c r="J13">
        <f>STEYX(I:I,H:H)</f>
        <v>2.3647356243142238E-3</v>
      </c>
    </row>
    <row r="14" spans="1:18" ht="18" x14ac:dyDescent="0.35">
      <c r="J14" s="1" t="s">
        <v>9</v>
      </c>
    </row>
    <row r="15" spans="1:18" x14ac:dyDescent="0.25">
      <c r="J15" s="1" t="s">
        <v>136</v>
      </c>
    </row>
    <row r="16" spans="1:18" x14ac:dyDescent="0.25">
      <c r="J16">
        <f>STEYX(I:I,H:H)*SQRT(COUNT(H:H)/(COUNT(H:H)*SUMSQ(H:H)-SUM(H:H)^2))</f>
        <v>1.1777021237856975E-3</v>
      </c>
    </row>
    <row r="17" spans="10:10" ht="18" x14ac:dyDescent="0.35">
      <c r="J17" s="1" t="s">
        <v>10</v>
      </c>
    </row>
    <row r="18" spans="10:10" x14ac:dyDescent="0.25">
      <c r="J18" s="1" t="s">
        <v>0</v>
      </c>
    </row>
    <row r="19" spans="10:10" x14ac:dyDescent="0.25">
      <c r="J19">
        <f>STEYX(I:I,H:H)*SQRT(SUMSQ(H:H)/(COUNT(H:H)*SUMSQ(H:H)-SUM(H:H)^2))</f>
        <v>2.3439753726924042E-3</v>
      </c>
    </row>
  </sheetData>
  <mergeCells count="1">
    <mergeCell ref="N1:P1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ColWidth="8.7109375" defaultRowHeight="15" x14ac:dyDescent="0.25"/>
  <cols>
    <col min="1" max="1" width="9.140625" customWidth="1"/>
    <col min="4" max="4" width="9.7109375" customWidth="1"/>
    <col min="17" max="17" width="7.140625" customWidth="1"/>
    <col min="18" max="18" width="6.7109375" customWidth="1"/>
  </cols>
  <sheetData>
    <row r="1" spans="1:22" ht="19.5" thickBot="1" x14ac:dyDescent="0.4">
      <c r="A1" s="33" t="s">
        <v>2</v>
      </c>
      <c r="B1" s="35"/>
      <c r="C1" s="1" t="s">
        <v>48</v>
      </c>
      <c r="D1" s="1" t="s">
        <v>4</v>
      </c>
      <c r="E1" s="33" t="s">
        <v>5</v>
      </c>
      <c r="F1" s="35"/>
      <c r="G1" s="1" t="s">
        <v>48</v>
      </c>
      <c r="H1" s="1" t="s">
        <v>18</v>
      </c>
      <c r="I1" s="1" t="s">
        <v>4</v>
      </c>
      <c r="K1" s="30" t="s">
        <v>92</v>
      </c>
      <c r="L1" s="31"/>
      <c r="M1" s="32"/>
      <c r="P1" s="37" t="s">
        <v>64</v>
      </c>
      <c r="Q1" s="38"/>
      <c r="R1" s="38"/>
      <c r="S1" s="39"/>
    </row>
    <row r="2" spans="1:22" ht="15.75" thickBot="1" x14ac:dyDescent="0.3">
      <c r="A2" s="37" t="s">
        <v>65</v>
      </c>
      <c r="B2" s="39"/>
      <c r="C2" s="1" t="s">
        <v>12</v>
      </c>
      <c r="D2">
        <f>COUNT(C:C)</f>
        <v>8</v>
      </c>
      <c r="E2" s="37" t="s">
        <v>68</v>
      </c>
      <c r="F2" s="39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33" t="s">
        <v>91</v>
      </c>
      <c r="Q2" s="34"/>
      <c r="R2" s="34"/>
      <c r="S2" s="35"/>
    </row>
    <row r="3" spans="1:22" ht="15.75" thickBot="1" x14ac:dyDescent="0.3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30" t="s">
        <v>119</v>
      </c>
      <c r="L3" s="31"/>
      <c r="M3" s="32"/>
      <c r="P3" s="5" t="s">
        <v>19</v>
      </c>
      <c r="Q3" s="4" t="s">
        <v>19</v>
      </c>
      <c r="R3" s="5" t="s">
        <v>20</v>
      </c>
      <c r="S3" s="4" t="s">
        <v>20</v>
      </c>
      <c r="T3" s="30" t="s">
        <v>94</v>
      </c>
      <c r="U3" s="31"/>
      <c r="V3" s="32"/>
    </row>
    <row r="4" spans="1:22" x14ac:dyDescent="0.25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 x14ac:dyDescent="0.3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 x14ac:dyDescent="0.4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30" t="s">
        <v>108</v>
      </c>
      <c r="L6" s="31"/>
      <c r="M6" s="32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 x14ac:dyDescent="0.25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 x14ac:dyDescent="0.4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30" t="s">
        <v>113</v>
      </c>
      <c r="L9" s="31"/>
      <c r="M9" s="32"/>
      <c r="P9" s="5" t="s">
        <v>29</v>
      </c>
      <c r="Q9" s="4" t="s">
        <v>29</v>
      </c>
      <c r="R9" s="5" t="s">
        <v>30</v>
      </c>
      <c r="S9" s="4" t="s">
        <v>30</v>
      </c>
    </row>
    <row r="10" spans="1:22" x14ac:dyDescent="0.25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 x14ac:dyDescent="0.25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 x14ac:dyDescent="0.25">
      <c r="C13" s="36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 x14ac:dyDescent="0.35">
      <c r="C14" s="36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 x14ac:dyDescent="0.25">
      <c r="C15" s="36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 x14ac:dyDescent="0.25">
      <c r="C16" s="36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 x14ac:dyDescent="0.35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 x14ac:dyDescent="0.25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 x14ac:dyDescent="0.25">
      <c r="A19" s="29" t="s">
        <v>118</v>
      </c>
      <c r="B19" s="29"/>
      <c r="C19" s="29"/>
      <c r="D19" s="29"/>
      <c r="G19" s="36" t="s">
        <v>112</v>
      </c>
      <c r="H19" s="36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 x14ac:dyDescent="0.3">
      <c r="A20" s="29"/>
      <c r="B20" s="29"/>
      <c r="C20" s="29"/>
      <c r="D20" s="29"/>
      <c r="G20" s="36"/>
      <c r="H20" s="36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 x14ac:dyDescent="0.3">
      <c r="A21" s="29"/>
      <c r="B21" s="29"/>
      <c r="C21" s="29"/>
      <c r="D21" s="29"/>
      <c r="I21" s="30" t="s">
        <v>69</v>
      </c>
      <c r="J21" s="31"/>
      <c r="K21" s="32"/>
      <c r="P21" s="5" t="s">
        <v>44</v>
      </c>
      <c r="Q21" s="4" t="s">
        <v>44</v>
      </c>
      <c r="R21" s="5" t="s">
        <v>57</v>
      </c>
      <c r="S21" s="4" t="s">
        <v>57</v>
      </c>
    </row>
    <row r="22" spans="1:19" x14ac:dyDescent="0.25">
      <c r="A22" s="29"/>
      <c r="B22" s="29"/>
      <c r="C22" s="29"/>
      <c r="D22" s="29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 x14ac:dyDescent="0.25">
      <c r="A23" s="29"/>
      <c r="B23" s="29"/>
      <c r="C23" s="29"/>
      <c r="D23" s="29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 x14ac:dyDescent="0.25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 x14ac:dyDescent="0.25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 x14ac:dyDescent="0.25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 x14ac:dyDescent="0.25">
      <c r="P27" s="5" t="s">
        <v>18</v>
      </c>
      <c r="Q27" s="4" t="s">
        <v>18</v>
      </c>
      <c r="R27" s="5" t="s">
        <v>62</v>
      </c>
      <c r="S27" s="4" t="s">
        <v>62</v>
      </c>
    </row>
    <row r="28" spans="1:19" x14ac:dyDescent="0.25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 x14ac:dyDescent="0.25">
      <c r="A29" t="s">
        <v>105</v>
      </c>
    </row>
    <row r="35" spans="9:9" x14ac:dyDescent="0.25">
      <c r="I35" t="s">
        <v>74</v>
      </c>
    </row>
    <row r="36" spans="9:9" ht="17.25" x14ac:dyDescent="0.25">
      <c r="I36" t="s">
        <v>75</v>
      </c>
    </row>
    <row r="46" spans="9:9" x14ac:dyDescent="0.25">
      <c r="I46" t="s">
        <v>76</v>
      </c>
    </row>
    <row r="47" spans="9:9" x14ac:dyDescent="0.25">
      <c r="I47" t="s">
        <v>77</v>
      </c>
    </row>
    <row r="48" spans="9:9" x14ac:dyDescent="0.25">
      <c r="I48" t="s">
        <v>78</v>
      </c>
    </row>
    <row r="49" spans="9:9" x14ac:dyDescent="0.25">
      <c r="I49" t="s">
        <v>79</v>
      </c>
    </row>
    <row r="59" spans="9:9" x14ac:dyDescent="0.25">
      <c r="I59" t="s">
        <v>80</v>
      </c>
    </row>
    <row r="60" spans="9:9" x14ac:dyDescent="0.25">
      <c r="I60" t="s">
        <v>81</v>
      </c>
    </row>
    <row r="61" spans="9:9" x14ac:dyDescent="0.25">
      <c r="I61" t="s">
        <v>82</v>
      </c>
    </row>
    <row r="71" spans="9:16" x14ac:dyDescent="0.25">
      <c r="I71" t="s">
        <v>83</v>
      </c>
      <c r="M71" s="1" t="s">
        <v>48</v>
      </c>
      <c r="N71" s="1" t="s">
        <v>45</v>
      </c>
    </row>
    <row r="72" spans="9:16" x14ac:dyDescent="0.25">
      <c r="I72" t="s">
        <v>87</v>
      </c>
      <c r="M72" s="1" t="s">
        <v>12</v>
      </c>
      <c r="N72" s="1" t="s">
        <v>67</v>
      </c>
    </row>
    <row r="73" spans="9:16" x14ac:dyDescent="0.25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 x14ac:dyDescent="0.25">
      <c r="I74" t="s">
        <v>84</v>
      </c>
      <c r="M74">
        <v>-1</v>
      </c>
      <c r="N74">
        <v>0.84031349029360847</v>
      </c>
    </row>
    <row r="75" spans="9:16" x14ac:dyDescent="0.25">
      <c r="I75" t="s">
        <v>85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88</v>
      </c>
    </row>
    <row r="92" spans="9:9" x14ac:dyDescent="0.25">
      <c r="I92" t="s">
        <v>89</v>
      </c>
    </row>
    <row r="93" spans="9:9" x14ac:dyDescent="0.25">
      <c r="I93" t="s">
        <v>90</v>
      </c>
    </row>
  </sheetData>
  <mergeCells count="15">
    <mergeCell ref="K1:M1"/>
    <mergeCell ref="P1:S1"/>
    <mergeCell ref="A2:B2"/>
    <mergeCell ref="A1:B1"/>
    <mergeCell ref="E2:F2"/>
    <mergeCell ref="E1:F1"/>
    <mergeCell ref="A19:D23"/>
    <mergeCell ref="T3:V3"/>
    <mergeCell ref="K6:M6"/>
    <mergeCell ref="K9:M9"/>
    <mergeCell ref="P2:S2"/>
    <mergeCell ref="I21:K21"/>
    <mergeCell ref="C13:C16"/>
    <mergeCell ref="G19:H20"/>
    <mergeCell ref="K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2020-05-13T21:53:56Z</dcterms:modified>
</cp:coreProperties>
</file>