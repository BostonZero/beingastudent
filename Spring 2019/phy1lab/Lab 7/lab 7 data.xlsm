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Lab 7/"/>
    </mc:Choice>
  </mc:AlternateContent>
  <xr:revisionPtr revIDLastSave="1360" documentId="13_ncr:1_{03594709-7D9F-464A-A2FC-DDEAC9A2B116}" xr6:coauthVersionLast="45" xr6:coauthVersionMax="45" xr10:uidLastSave="{979DBAB2-63F5-4D78-A261-D563E1DE41B5}"/>
  <bookViews>
    <workbookView xWindow="38280" yWindow="-120" windowWidth="38640" windowHeight="21840" xr2:uid="{00000000-000D-0000-FFFF-FFFF00000000}"/>
  </bookViews>
  <sheets>
    <sheet name="Sheet1" sheetId="9" r:id="rId1"/>
    <sheet name="Sheet2" sheetId="10" r:id="rId2"/>
    <sheet name="Sheet3" sheetId="11" r:id="rId3"/>
    <sheet name="Help Sheet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9" l="1"/>
  <c r="Y26" i="9" l="1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O3" i="9"/>
  <c r="G5" i="9" l="1"/>
  <c r="Y3" i="9" s="1"/>
  <c r="I8" i="9"/>
  <c r="K8" i="9"/>
  <c r="K11" i="9" s="1"/>
  <c r="Y8" i="9" s="1"/>
  <c r="K5" i="9"/>
  <c r="K2" i="9"/>
  <c r="I11" i="9"/>
  <c r="I5" i="9"/>
  <c r="I2" i="9"/>
  <c r="G11" i="9"/>
  <c r="G8" i="9"/>
  <c r="G2" i="9"/>
  <c r="E11" i="9"/>
  <c r="E8" i="9"/>
  <c r="E5" i="9"/>
  <c r="E2" i="9"/>
  <c r="C11" i="9"/>
  <c r="C8" i="9"/>
  <c r="C5" i="9"/>
  <c r="C2" i="9"/>
  <c r="N2" i="9" l="1"/>
  <c r="Y7" i="9"/>
  <c r="Q2" i="9"/>
  <c r="Q3" i="9"/>
  <c r="N3" i="9"/>
  <c r="L5" i="5"/>
  <c r="O2" i="9" l="1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 l="1"/>
  <c r="D8" i="5"/>
  <c r="I13" i="5"/>
  <c r="I10" i="5"/>
  <c r="I8" i="5"/>
  <c r="I5" i="5"/>
  <c r="I2" i="5"/>
  <c r="D2" i="5"/>
  <c r="I16" i="5" l="1"/>
  <c r="I19" i="5"/>
  <c r="D11" i="5"/>
</calcChain>
</file>

<file path=xl/sharedStrings.xml><?xml version="1.0" encoding="utf-8"?>
<sst xmlns="http://schemas.openxmlformats.org/spreadsheetml/2006/main" count="279" uniqueCount="156">
  <si>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</si>
  <si>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</si>
  <si>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</si>
  <si>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</si>
  <si>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</si>
  <si>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</si>
  <si>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</si>
  <si>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</si>
  <si>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</si>
  <si>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</si>
  <si>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</si>
  <si>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</si>
  <si>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</si>
  <si>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</si>
  <si>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</si>
  <si>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</si>
  <si>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</si>
  <si>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</si>
  <si>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</si>
  <si>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</si>
  <si>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</si>
  <si>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</si>
  <si>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</si>
  <si>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</si>
  <si>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</si>
  <si>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</si>
  <si>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</si>
  <si>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</si>
  <si>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</si>
  <si>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</si>
  <si>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</si>
  <si>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</si>
  <si>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</si>
  <si>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</si>
  <si>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</si>
  <si>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</si>
  <si>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</si>
  <si>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</si>
  <si>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</si>
  <si>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</si>
  <si>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</si>
  <si>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</si>
  <si>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</si>
  <si>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</si>
  <si>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</si>
  <si>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</si>
  <si>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</si>
  <si>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</si>
  <si>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</si>
  <si>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</si>
  <si>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</si>
  <si>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</si>
  <si>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</si>
  <si>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</si>
  <si>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</si>
  <si>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</si>
  <si>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</si>
  <si>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</si>
  <si>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</si>
  <si>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</si>
  <si>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</si>
  <si>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</si>
  <si>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</si>
  <si>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</si>
  <si>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</si>
  <si>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</si>
  <si>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</si>
  <si>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</si>
  <si>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</si>
  <si>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</si>
  <si>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</si>
  <si>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</si>
  <si>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</si>
  <si>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</si>
  <si>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</si>
  <si>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</si>
  <si>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</si>
  <si>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</si>
  <si>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</si>
  <si>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</si>
  <si>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</si>
  <si>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</si>
  <si>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</si>
  <si>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</si>
  <si>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</si>
  <si>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</si>
  <si>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</si>
  <si>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</si>
  <si>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</si>
  <si>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</si>
  <si>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</si>
  <si>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</si>
  <si>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</si>
  <si>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</si>
  <si>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</si>
  <si>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</si>
  <si>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</si>
  <si>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</si>
  <si>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</si>
  <si>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</si>
  <si>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</si>
  <si>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</si>
  <si>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</si>
  <si>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</si>
  <si>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</si>
  <si>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</si>
  <si>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</si>
  <si>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</si>
  <si>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</si>
  <si>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</si>
  <si>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</si>
  <si>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</si>
  <si>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</si>
  <si>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</si>
  <si>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</si>
  <si>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</si>
  <si>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</si>
  <si>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</si>
  <si>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</si>
  <si>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</si>
  <si>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</si>
  <si>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(g)</t>
  </si>
  <si>
    <t>(cm)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</si>
  <si>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M</t>
    </r>
  </si>
  <si>
    <r>
      <t>h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</si>
  <si>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h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</si>
  <si>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Sx</t>
  </si>
  <si>
    <t>cm</t>
  </si>
  <si>
    <t>momentum</t>
  </si>
  <si>
    <t>velocity</t>
  </si>
  <si>
    <t>initial</t>
  </si>
  <si>
    <t>final</t>
  </si>
  <si>
    <t>error</t>
  </si>
  <si>
    <t>shortcuts</t>
  </si>
  <si>
    <t>delta h</t>
  </si>
  <si>
    <t>SM+m</t>
  </si>
  <si>
    <t>M+m</t>
  </si>
  <si>
    <t>Sdelta h</t>
  </si>
  <si>
    <t>g cm/s</t>
  </si>
  <si>
    <t>cm/s</t>
  </si>
  <si>
    <t>SM</t>
  </si>
  <si>
    <t>Sm</t>
  </si>
  <si>
    <t>hi</t>
  </si>
  <si>
    <t>Shi</t>
  </si>
  <si>
    <t>hf</t>
  </si>
  <si>
    <t>Shf</t>
  </si>
  <si>
    <t>Sy</t>
  </si>
  <si>
    <t>PFE</t>
  </si>
  <si>
    <t>pi</t>
  </si>
  <si>
    <t>Spi</t>
  </si>
  <si>
    <t>pf</t>
  </si>
  <si>
    <t>Spf</t>
  </si>
  <si>
    <t>vi</t>
  </si>
  <si>
    <t>Svi</t>
  </si>
  <si>
    <t>Svf</t>
  </si>
  <si>
    <t>vf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</si>
</sst>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Font="1"/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2-4EE1-A89A-1646F8039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F9-4465-9F7E-5954526A2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79-4FDA-B24F-3320874A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B6-4477-B1B2-B5C827B0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3A-4C66-9460-7A730027DDA2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3A-4C66-9460-7A730027D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C-4857-89F6-65D2C718A39D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C-4857-89F6-65D2C718A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26"/>
  <sheetViews>
    <sheetView tabSelected="1" topLeftCell="P1" zoomScale="220" zoomScaleNormal="220" workbookViewId="0">
      <selection activeCell="R4" sqref="R1:R4"/>
    </sheetView>
  </sheetViews>
  <sheetFormatPr defaultRowHeight="15" x14ac:dyDescent="0.25"/>
  <cols>
    <col min="14" max="14" width="13.140625" customWidth="1"/>
  </cols>
  <sheetData>
    <row r="1" spans="1:25" ht="18" x14ac:dyDescent="0.35">
      <c r="A1" s="9" t="s">
        <v>52</v>
      </c>
      <c r="B1" s="9" t="s">
        <v>0</v>
      </c>
      <c r="C1" s="1" t="s">
        <v>4</v>
      </c>
      <c r="D1" s="9" t="s">
        <v>124</v>
      </c>
      <c r="E1" s="1" t="s">
        <v>4</v>
      </c>
      <c r="F1" s="9" t="s">
        <v>125</v>
      </c>
      <c r="G1" s="1" t="s">
        <v>4</v>
      </c>
      <c r="H1" s="9" t="s">
        <v>18</v>
      </c>
      <c r="I1" s="1" t="s">
        <v>4</v>
      </c>
      <c r="J1" s="9" t="s">
        <v>48</v>
      </c>
      <c r="K1" s="1" t="s">
        <v>4</v>
      </c>
      <c r="N1" t="s">
        <v>128</v>
      </c>
      <c r="O1" t="s">
        <v>132</v>
      </c>
      <c r="P1" t="s">
        <v>147</v>
      </c>
      <c r="Q1" t="s">
        <v>129</v>
      </c>
      <c r="S1" s="10"/>
      <c r="X1" t="s">
        <v>133</v>
      </c>
    </row>
    <row r="2" spans="1:25" x14ac:dyDescent="0.25">
      <c r="A2" s="9" t="s">
        <v>121</v>
      </c>
      <c r="B2" s="9" t="s">
        <v>121</v>
      </c>
      <c r="C2">
        <f>COUNT(B:B)</f>
        <v>5</v>
      </c>
      <c r="D2" s="9" t="s">
        <v>122</v>
      </c>
      <c r="E2">
        <f>COUNT(D:D)</f>
        <v>5</v>
      </c>
      <c r="F2" s="9" t="s">
        <v>122</v>
      </c>
      <c r="G2">
        <f>COUNT(F:F)</f>
        <v>10</v>
      </c>
      <c r="H2" s="9" t="s">
        <v>122</v>
      </c>
      <c r="I2">
        <f>COUNT(H:H)</f>
        <v>5</v>
      </c>
      <c r="J2" s="9" t="s">
        <v>122</v>
      </c>
      <c r="K2">
        <f>COUNT(J:J)</f>
        <v>10</v>
      </c>
      <c r="M2" t="s">
        <v>130</v>
      </c>
      <c r="N2">
        <f>C5*K5*SQRT(Y2/(2*I5))</f>
        <v>46903.262457920995</v>
      </c>
      <c r="O2">
        <f>ABS(N2)*SQRT((C11/C5)^2+(K11/K5)^2+(I11/I5)^2)</f>
        <v>239.52658605372855</v>
      </c>
      <c r="P2">
        <f>ABS(N2-N3)/N2*100</f>
        <v>2.6366916699585974</v>
      </c>
      <c r="Q2">
        <f>K5/SQRT((2*I5)/Y2)</f>
        <v>669.79782449263109</v>
      </c>
      <c r="X2" t="s">
        <v>29</v>
      </c>
      <c r="Y2">
        <v>980.35</v>
      </c>
    </row>
    <row r="3" spans="1:25" x14ac:dyDescent="0.25">
      <c r="A3">
        <v>274.2</v>
      </c>
      <c r="B3">
        <v>69.81</v>
      </c>
      <c r="C3" s="2" t="s">
        <v>11</v>
      </c>
      <c r="D3">
        <v>3.9</v>
      </c>
      <c r="E3" s="2" t="s">
        <v>11</v>
      </c>
      <c r="F3">
        <v>13.82</v>
      </c>
      <c r="G3" s="2" t="s">
        <v>11</v>
      </c>
      <c r="H3">
        <v>101.4</v>
      </c>
      <c r="I3" s="2" t="s">
        <v>11</v>
      </c>
      <c r="J3">
        <v>302.2</v>
      </c>
      <c r="K3" s="2" t="s">
        <v>11</v>
      </c>
      <c r="M3" t="s">
        <v>131</v>
      </c>
      <c r="N3">
        <f>(A3+C5)*SQRT(2*Y2*Y3)</f>
        <v>48139.956872087816</v>
      </c>
      <c r="O3">
        <f>ABS(N3)*SQRT((Y5/Y4)^2+(Y6/(2*Y3))^2)</f>
        <v>41.327298413697285</v>
      </c>
      <c r="Q3">
        <f>SQRT(2*Y2*Y3)</f>
        <v>139.84985698955865</v>
      </c>
      <c r="X3" t="s">
        <v>134</v>
      </c>
      <c r="Y3">
        <f>G5-E5</f>
        <v>9.9750000000000014</v>
      </c>
    </row>
    <row r="4" spans="1:25" x14ac:dyDescent="0.25">
      <c r="B4">
        <v>70.42</v>
      </c>
      <c r="C4" s="1" t="s">
        <v>29</v>
      </c>
      <c r="D4">
        <v>3.9</v>
      </c>
      <c r="E4" s="1" t="s">
        <v>127</v>
      </c>
      <c r="F4">
        <v>13.95</v>
      </c>
      <c r="G4" s="1" t="s">
        <v>127</v>
      </c>
      <c r="H4">
        <v>101.5</v>
      </c>
      <c r="I4" s="1" t="s">
        <v>127</v>
      </c>
      <c r="J4">
        <v>302</v>
      </c>
      <c r="K4" s="1" t="s">
        <v>127</v>
      </c>
      <c r="N4" t="s">
        <v>138</v>
      </c>
      <c r="Q4" t="s">
        <v>139</v>
      </c>
      <c r="X4" t="s">
        <v>136</v>
      </c>
      <c r="Y4">
        <v>344.226</v>
      </c>
    </row>
    <row r="5" spans="1:25" ht="18" x14ac:dyDescent="0.35">
      <c r="A5" s="9" t="s">
        <v>123</v>
      </c>
      <c r="B5">
        <v>69.790000000000006</v>
      </c>
      <c r="C5">
        <f>AVERAGE(B:B)</f>
        <v>70.02600000000001</v>
      </c>
      <c r="D5">
        <v>3.9</v>
      </c>
      <c r="E5">
        <f>AVERAGE(D:D)</f>
        <v>3.8979999999999997</v>
      </c>
      <c r="F5">
        <v>13.82</v>
      </c>
      <c r="G5">
        <f>AVERAGE(F:F)</f>
        <v>13.873000000000001</v>
      </c>
      <c r="H5">
        <v>101.2</v>
      </c>
      <c r="I5">
        <f>AVERAGE(H:H)</f>
        <v>101.34</v>
      </c>
      <c r="J5">
        <v>303.8</v>
      </c>
      <c r="K5">
        <f>AVERAGE(J:J)</f>
        <v>304.55000000000007</v>
      </c>
      <c r="X5" t="s">
        <v>135</v>
      </c>
      <c r="Y5">
        <v>0.1525</v>
      </c>
    </row>
    <row r="6" spans="1:25" ht="18" x14ac:dyDescent="0.35">
      <c r="A6" s="9" t="s">
        <v>121</v>
      </c>
      <c r="B6">
        <v>70</v>
      </c>
      <c r="C6" s="1" t="s">
        <v>13</v>
      </c>
      <c r="D6">
        <v>3.9</v>
      </c>
      <c r="E6" s="1" t="s">
        <v>13</v>
      </c>
      <c r="F6">
        <v>13.9</v>
      </c>
      <c r="G6" s="1" t="s">
        <v>13</v>
      </c>
      <c r="H6">
        <v>101.3</v>
      </c>
      <c r="I6" s="1" t="s">
        <v>13</v>
      </c>
      <c r="J6">
        <v>308.89999999999998</v>
      </c>
      <c r="K6" s="1" t="s">
        <v>13</v>
      </c>
      <c r="X6" t="s">
        <v>137</v>
      </c>
      <c r="Y6">
        <v>1.4670000000000001E-2</v>
      </c>
    </row>
    <row r="7" spans="1:25" x14ac:dyDescent="0.25">
      <c r="A7">
        <v>0.1</v>
      </c>
      <c r="B7">
        <v>70.11</v>
      </c>
      <c r="C7" s="1" t="s">
        <v>29</v>
      </c>
      <c r="D7">
        <v>3.89</v>
      </c>
      <c r="E7" s="1" t="s">
        <v>127</v>
      </c>
      <c r="F7">
        <v>13.88</v>
      </c>
      <c r="G7" s="1" t="s">
        <v>127</v>
      </c>
      <c r="H7">
        <v>101.3</v>
      </c>
      <c r="I7" s="1" t="s">
        <v>127</v>
      </c>
      <c r="J7">
        <v>309.60000000000002</v>
      </c>
      <c r="K7" s="1" t="s">
        <v>127</v>
      </c>
      <c r="X7" t="s">
        <v>48</v>
      </c>
      <c r="Y7">
        <f>K5</f>
        <v>304.55000000000007</v>
      </c>
    </row>
    <row r="8" spans="1:25" x14ac:dyDescent="0.25">
      <c r="C8">
        <f>_xlfn.STDEV.S(B:B)</f>
        <v>0.25754611237601577</v>
      </c>
      <c r="E8">
        <f>_xlfn.STDEV.S(D:D)</f>
        <v>4.4721359549994835E-3</v>
      </c>
      <c r="F8">
        <v>13.8</v>
      </c>
      <c r="G8">
        <f>_xlfn.STDEV.S(F:F)</f>
        <v>4.5958918853930872E-2</v>
      </c>
      <c r="I8">
        <f>_xlfn.STDEV.S(H:H)</f>
        <v>0.11401754250991418</v>
      </c>
      <c r="J8">
        <v>307.10000000000002</v>
      </c>
      <c r="K8">
        <f>_xlfn.STDEV.S(J:J)</f>
        <v>4.6308746474073335</v>
      </c>
      <c r="X8" t="s">
        <v>126</v>
      </c>
      <c r="Y8">
        <f>K11</f>
        <v>1.464411144453633</v>
      </c>
    </row>
    <row r="9" spans="1:25" ht="18" x14ac:dyDescent="0.35">
      <c r="C9" s="1" t="s">
        <v>14</v>
      </c>
      <c r="E9" s="1" t="s">
        <v>14</v>
      </c>
      <c r="F9">
        <v>13.9</v>
      </c>
      <c r="G9" s="1" t="s">
        <v>14</v>
      </c>
      <c r="I9" s="1" t="s">
        <v>14</v>
      </c>
      <c r="J9">
        <v>307.8</v>
      </c>
      <c r="K9" s="1" t="s">
        <v>14</v>
      </c>
      <c r="X9" t="s">
        <v>52</v>
      </c>
      <c r="Y9">
        <f>A3</f>
        <v>274.2</v>
      </c>
    </row>
    <row r="10" spans="1:25" x14ac:dyDescent="0.25">
      <c r="C10" s="1" t="s">
        <v>29</v>
      </c>
      <c r="E10" s="1" t="s">
        <v>127</v>
      </c>
      <c r="F10">
        <v>13.88</v>
      </c>
      <c r="G10" s="1" t="s">
        <v>127</v>
      </c>
      <c r="I10" s="1" t="s">
        <v>127</v>
      </c>
      <c r="J10">
        <v>309</v>
      </c>
      <c r="K10" s="1" t="s">
        <v>127</v>
      </c>
      <c r="X10" t="s">
        <v>140</v>
      </c>
      <c r="Y10">
        <f>A7</f>
        <v>0.1</v>
      </c>
    </row>
    <row r="11" spans="1:25" x14ac:dyDescent="0.25">
      <c r="C11">
        <f>C8/SQRT(C2)</f>
        <v>0.11517812292271422</v>
      </c>
      <c r="E11">
        <f>E8/SQRT(E2)</f>
        <v>1.9999999999999571E-3</v>
      </c>
      <c r="F11">
        <v>13.89</v>
      </c>
      <c r="G11">
        <f>G8/SQRT(G2)</f>
        <v>1.4533486237727692E-2</v>
      </c>
      <c r="I11">
        <f>I8/SQRT(I2)</f>
        <v>5.0990195135928014E-2</v>
      </c>
      <c r="J11">
        <v>298.3</v>
      </c>
      <c r="K11">
        <f>K8/SQRT(K2)</f>
        <v>1.464411144453633</v>
      </c>
      <c r="X11" t="s">
        <v>0</v>
      </c>
      <c r="Y11">
        <f>C5</f>
        <v>70.02600000000001</v>
      </c>
    </row>
    <row r="12" spans="1:25" x14ac:dyDescent="0.25">
      <c r="F12">
        <v>13.89</v>
      </c>
      <c r="J12">
        <v>296.8</v>
      </c>
      <c r="X12" t="s">
        <v>141</v>
      </c>
      <c r="Y12">
        <f>C11</f>
        <v>0.11517812292271422</v>
      </c>
    </row>
    <row r="13" spans="1:25" x14ac:dyDescent="0.25">
      <c r="X13" t="s">
        <v>142</v>
      </c>
      <c r="Y13">
        <f>E5</f>
        <v>3.8979999999999997</v>
      </c>
    </row>
    <row r="14" spans="1:25" x14ac:dyDescent="0.25">
      <c r="X14" t="s">
        <v>143</v>
      </c>
      <c r="Y14">
        <f>E11</f>
        <v>1.9999999999999571E-3</v>
      </c>
    </row>
    <row r="15" spans="1:25" x14ac:dyDescent="0.25">
      <c r="X15" t="s">
        <v>144</v>
      </c>
      <c r="Y15">
        <f>G5</f>
        <v>13.873000000000001</v>
      </c>
    </row>
    <row r="16" spans="1:25" x14ac:dyDescent="0.25">
      <c r="X16" t="s">
        <v>145</v>
      </c>
      <c r="Y16">
        <f>G11</f>
        <v>1.4533486237727692E-2</v>
      </c>
    </row>
    <row r="17" spans="24:25" x14ac:dyDescent="0.25">
      <c r="X17" t="s">
        <v>18</v>
      </c>
      <c r="Y17">
        <f>I5</f>
        <v>101.34</v>
      </c>
    </row>
    <row r="18" spans="24:25" x14ac:dyDescent="0.25">
      <c r="X18" t="s">
        <v>146</v>
      </c>
      <c r="Y18">
        <f>I11</f>
        <v>5.0990195135928014E-2</v>
      </c>
    </row>
    <row r="19" spans="24:25" x14ac:dyDescent="0.25">
      <c r="X19" t="s">
        <v>148</v>
      </c>
      <c r="Y19">
        <f>N2</f>
        <v>46903.262457920995</v>
      </c>
    </row>
    <row r="20" spans="24:25" x14ac:dyDescent="0.25">
      <c r="X20" t="s">
        <v>149</v>
      </c>
      <c r="Y20">
        <f>O2</f>
        <v>239.52658605372855</v>
      </c>
    </row>
    <row r="21" spans="24:25" x14ac:dyDescent="0.25">
      <c r="X21" t="s">
        <v>150</v>
      </c>
      <c r="Y21">
        <f>N3</f>
        <v>48139.956872087816</v>
      </c>
    </row>
    <row r="22" spans="24:25" x14ac:dyDescent="0.25">
      <c r="X22" t="s">
        <v>151</v>
      </c>
      <c r="Y22">
        <f>O3</f>
        <v>41.327298413697285</v>
      </c>
    </row>
    <row r="23" spans="24:25" x14ac:dyDescent="0.25">
      <c r="X23" t="s">
        <v>152</v>
      </c>
      <c r="Y23">
        <f>Q2</f>
        <v>669.79782449263109</v>
      </c>
    </row>
    <row r="24" spans="24:25" x14ac:dyDescent="0.25">
      <c r="X24" t="s">
        <v>153</v>
      </c>
      <c r="Y24">
        <f>R2</f>
        <v>0</v>
      </c>
    </row>
    <row r="25" spans="24:25" x14ac:dyDescent="0.25">
      <c r="X25" t="s">
        <v>155</v>
      </c>
      <c r="Y25">
        <f>Q3</f>
        <v>139.84985698955865</v>
      </c>
    </row>
    <row r="26" spans="24:25" x14ac:dyDescent="0.25">
      <c r="X26" t="s">
        <v>154</v>
      </c>
      <c r="Y26">
        <f>R3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15" t="s">
        <v>2</v>
      </c>
      <c r="B1" s="17"/>
      <c r="C1" s="1" t="s">
        <v>48</v>
      </c>
      <c r="D1" s="1" t="s">
        <v>4</v>
      </c>
      <c r="E1" s="15" t="s">
        <v>5</v>
      </c>
      <c r="F1" s="17"/>
      <c r="G1" s="1" t="s">
        <v>48</v>
      </c>
      <c r="H1" s="1" t="s">
        <v>18</v>
      </c>
      <c r="I1" s="1" t="s">
        <v>4</v>
      </c>
      <c r="K1" s="12" t="s">
        <v>92</v>
      </c>
      <c r="L1" s="13"/>
      <c r="M1" s="14"/>
      <c r="P1" s="19" t="s">
        <v>64</v>
      </c>
      <c r="Q1" s="20"/>
      <c r="R1" s="20"/>
      <c r="S1" s="21"/>
    </row>
    <row r="2" spans="1:22" ht="15.75" thickBot="1" x14ac:dyDescent="0.3">
      <c r="A2" s="19" t="s">
        <v>65</v>
      </c>
      <c r="B2" s="21"/>
      <c r="C2" s="1" t="s">
        <v>12</v>
      </c>
      <c r="D2">
        <f>COUNT(C:C)</f>
        <v>8</v>
      </c>
      <c r="E2" s="19" t="s">
        <v>68</v>
      </c>
      <c r="F2" s="21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15" t="s">
        <v>91</v>
      </c>
      <c r="Q2" s="16"/>
      <c r="R2" s="16"/>
      <c r="S2" s="17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12" t="s">
        <v>119</v>
      </c>
      <c r="L3" s="13"/>
      <c r="M3" s="14"/>
      <c r="P3" s="5" t="s">
        <v>19</v>
      </c>
      <c r="Q3" s="4" t="s">
        <v>19</v>
      </c>
      <c r="R3" s="5" t="s">
        <v>20</v>
      </c>
      <c r="S3" s="4" t="s">
        <v>20</v>
      </c>
      <c r="T3" s="12" t="s">
        <v>94</v>
      </c>
      <c r="U3" s="13"/>
      <c r="V3" s="14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12" t="s">
        <v>108</v>
      </c>
      <c r="L6" s="13"/>
      <c r="M6" s="14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12" t="s">
        <v>113</v>
      </c>
      <c r="L9" s="13"/>
      <c r="M9" s="14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18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18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18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18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11" t="s">
        <v>118</v>
      </c>
      <c r="B19" s="11"/>
      <c r="C19" s="11"/>
      <c r="D19" s="11"/>
      <c r="G19" s="18" t="s">
        <v>112</v>
      </c>
      <c r="H19" s="18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11"/>
      <c r="B20" s="11"/>
      <c r="C20" s="11"/>
      <c r="D20" s="11"/>
      <c r="G20" s="18"/>
      <c r="H20" s="18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11"/>
      <c r="B21" s="11"/>
      <c r="C21" s="11"/>
      <c r="D21" s="11"/>
      <c r="I21" s="12" t="s">
        <v>69</v>
      </c>
      <c r="J21" s="13"/>
      <c r="K21" s="14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11"/>
      <c r="B22" s="11"/>
      <c r="C22" s="11"/>
      <c r="D22" s="11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11"/>
      <c r="B23" s="11"/>
      <c r="C23" s="11"/>
      <c r="D23" s="11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Small</dc:creator>
  <cp:lastModifiedBy>Benjamin Giftakis</cp:lastModifiedBy>
  <dcterms:created xsi:type="dcterms:W3CDTF">2006-09-16T00:00:00Z</dcterms:created>
  <dcterms:modified xsi:type="dcterms:W3CDTF">2020-04-21T23:59:18Z</dcterms:modified>
</cp:coreProperties>
</file>