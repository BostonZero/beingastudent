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00000000-0000-0000-0000-000000000000}"/>
  <workbookPr filterPrivacy="1" codeName="ThisWorkbook" defaultThemeVersion="124226"/>
  <bookViews>
    <workbookView xWindow="0" yWindow="0" windowWidth="20490" windowHeight="7365"/>
  </bookViews>
  <sheets>
    <sheet name="Sheet1" sheetId="9" r:id="rId1"/>
    <sheet name="Sheet2" sheetId="10" r:id="rId2"/>
    <sheet name="Sheet3" sheetId="11" r:id="rId3"/>
    <sheet name="Help Sheet" sheetId="5" r:id="rId4"/>
  </sheets>
  <calcPr calcId="162912"/>
</workbook>
</file>

<file path=xl/calcChain.xml><?xml version="1.0" encoding="utf-8"?>
<calcChain xmlns="http://schemas.openxmlformats.org/spreadsheetml/2006/main">
  <c r="L5" i="5" l="1"/>
  <c r="L18" i="5"/>
  <c r="M18" i="5"/>
  <c r="M17" i="5"/>
  <c r="L17" i="5"/>
  <c r="L15" i="5"/>
  <c r="M15" i="5"/>
  <c r="M14" i="5"/>
  <c r="L14" i="5"/>
  <c r="L12" i="5"/>
  <c r="M11" i="5"/>
  <c r="L11" i="5"/>
  <c r="M12" i="5"/>
  <c r="L8" i="5"/>
  <c r="D5" i="5"/>
  <c r="D8" i="5"/>
  <c r="I13" i="5"/>
  <c r="I10" i="5"/>
  <c r="I8" i="5"/>
  <c r="I5" i="5"/>
  <c r="I2" i="5"/>
  <c r="D2" i="5"/>
  <c r="I16" i="5"/>
  <c r="I19" i="5"/>
  <c r="D11" i="5"/>
</calcChain>
</file>

<file path=xl/sharedStrings.xml><?xml version="1.0" encoding="utf-8"?>
<sst xmlns="http://schemas.openxmlformats.org/spreadsheetml/2006/main" count="196" uniqueCount="121">
  <si>
    <t>1D Stats</t>
  </si>
  <si>
    <t>x</t>
  </si>
  <si>
    <t>N</t>
  </si>
  <si>
    <t>2D Stats</t>
  </si>
  <si>
    <t>y</t>
  </si>
  <si>
    <r>
      <rPr>
        <b/>
        <vertAlign val="superscript"/>
        <sz val="11"/>
        <color theme="1"/>
        <rFont val="Calibri"/>
        <family val="2"/>
        <scheme val="minor"/>
      </rPr>
      <t>superscript</t>
    </r>
    <r>
      <rPr>
        <b/>
        <sz val="11"/>
        <color theme="1"/>
        <rFont val="Calibri"/>
        <family val="2"/>
        <scheme val="minor"/>
      </rPr>
      <t xml:space="preserve"> and </t>
    </r>
    <r>
      <rPr>
        <b/>
        <vertAlign val="subscript"/>
        <sz val="11"/>
        <color theme="1"/>
        <rFont val="Calibri"/>
        <family val="2"/>
        <scheme val="minor"/>
      </rPr>
      <t>subscript</t>
    </r>
  </si>
  <si>
    <t xml:space="preserve">Latin to Greek </t>
  </si>
  <si>
    <t xml:space="preserve">Ctrl+Shift+D  </t>
  </si>
  <si>
    <t>(units)</t>
  </si>
  <si>
    <t>Ctrl+Shift+V</t>
  </si>
  <si>
    <t>(stinu)</t>
  </si>
  <si>
    <t>Highlight, right click, Format Cells</t>
  </si>
  <si>
    <r>
      <t xml:space="preserve">Convert with </t>
    </r>
    <r>
      <rPr>
        <b/>
        <i/>
        <sz val="11"/>
        <color theme="1"/>
        <rFont val="Calibri"/>
        <family val="2"/>
        <scheme val="minor"/>
      </rPr>
      <t>Symbol</t>
    </r>
    <r>
      <rPr>
        <b/>
        <sz val="11"/>
        <color theme="1"/>
        <rFont val="Calibri"/>
        <family val="2"/>
        <scheme val="minor"/>
      </rPr>
      <t xml:space="preserve"> Font</t>
    </r>
  </si>
  <si>
    <t>Example</t>
  </si>
  <si>
    <r>
      <t>`</t>
    </r>
    <r>
      <rPr>
        <b/>
        <sz val="11"/>
        <color theme="1"/>
        <rFont val="Calibri"/>
        <family val="2"/>
        <scheme val="minor"/>
      </rPr>
      <t>x</t>
    </r>
  </si>
  <si>
    <t>slope</t>
  </si>
  <si>
    <t>Absolute Value</t>
  </si>
  <si>
    <t>a</t>
  </si>
  <si>
    <t>A</t>
  </si>
  <si>
    <r>
      <t xml:space="preserve">Bar over letter, </t>
    </r>
    <r>
      <rPr>
        <b/>
        <sz val="11"/>
        <color theme="1"/>
        <rFont val="Symbol"/>
        <family val="1"/>
        <charset val="2"/>
      </rPr>
      <t>`</t>
    </r>
    <r>
      <rPr>
        <b/>
        <sz val="11"/>
        <color theme="1"/>
        <rFont val="Calibri"/>
        <family val="2"/>
        <scheme val="minor"/>
      </rPr>
      <t>L</t>
    </r>
  </si>
  <si>
    <t>(The codes are</t>
  </si>
  <si>
    <t xml:space="preserve"> "=abs()" with number in parentheses</t>
  </si>
  <si>
    <t>b</t>
  </si>
  <si>
    <t>B</t>
  </si>
  <si>
    <t xml:space="preserve">Type "`" before the letter </t>
  </si>
  <si>
    <t xml:space="preserve"> in the cells if</t>
  </si>
  <si>
    <t>Example:</t>
  </si>
  <si>
    <t>c</t>
  </si>
  <si>
    <t>C</t>
  </si>
  <si>
    <t>(the key above "Tab" and below "Esc")</t>
  </si>
  <si>
    <t>you prefer to not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</si>
  <si>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x</t>
    </r>
  </si>
  <si>
    <t>intercept</t>
  </si>
  <si>
    <r>
      <t xml:space="preserve">Entering </t>
    </r>
    <r>
      <rPr>
        <b/>
        <sz val="11"/>
        <color theme="1"/>
        <rFont val="Symbol"/>
        <family val="1"/>
        <charset val="2"/>
      </rPr>
      <t>p</t>
    </r>
  </si>
  <si>
    <t>d</t>
  </si>
  <si>
    <t>D</t>
  </si>
  <si>
    <r>
      <t xml:space="preserve">Switch "`" to </t>
    </r>
    <r>
      <rPr>
        <i/>
        <sz val="11"/>
        <color theme="1"/>
        <rFont val="Calibri"/>
        <family val="2"/>
        <scheme val="minor"/>
      </rPr>
      <t>Symbol</t>
    </r>
    <r>
      <rPr>
        <sz val="11"/>
        <color theme="1"/>
        <rFont val="Calibri"/>
        <family val="2"/>
        <scheme val="minor"/>
      </rPr>
      <t xml:space="preserve"> font</t>
    </r>
  </si>
  <si>
    <t>use the macros)</t>
  </si>
  <si>
    <t>Type "pi()" with nothing in the parentheses</t>
  </si>
  <si>
    <t>e</t>
  </si>
  <si>
    <t>E</t>
  </si>
  <si>
    <t>f</t>
  </si>
  <si>
    <t>F</t>
  </si>
  <si>
    <r>
      <t>S</t>
    </r>
    <r>
      <rPr>
        <b/>
        <vertAlign val="subscript"/>
        <sz val="11"/>
        <color theme="1"/>
        <rFont val="Symbol"/>
        <family val="1"/>
        <charset val="2"/>
      </rPr>
      <t>`</t>
    </r>
    <r>
      <rPr>
        <b/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</si>
  <si>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</si>
  <si>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Absolute references</t>
  </si>
  <si>
    <t>g</t>
  </si>
  <si>
    <t>G</t>
  </si>
  <si>
    <t>"$" before letter to protect left-right</t>
  </si>
  <si>
    <t>h</t>
  </si>
  <si>
    <t>H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</si>
  <si>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y</t>
    </r>
  </si>
  <si>
    <t>i</t>
  </si>
  <si>
    <t>I</t>
  </si>
  <si>
    <t>j</t>
  </si>
  <si>
    <t>J</t>
  </si>
  <si>
    <t>No extra numbers in this column</t>
  </si>
  <si>
    <t>"$" before number to protect up-down</t>
  </si>
  <si>
    <t>k</t>
  </si>
  <si>
    <t>K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</si>
  <si>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slope</t>
    </r>
  </si>
  <si>
    <t>l</t>
  </si>
  <si>
    <t>L</t>
  </si>
  <si>
    <t>m</t>
  </si>
  <si>
    <t>M</t>
  </si>
  <si>
    <t>"$" in both places to protect all four directions</t>
  </si>
  <si>
    <t>n</t>
  </si>
  <si>
    <r>
      <t>S</t>
    </r>
    <r>
      <rPr>
        <b/>
        <vertAlign val="subscript"/>
        <sz val="11"/>
        <color theme="1"/>
        <rFont val="Calibri"/>
        <family val="2"/>
        <scheme val="minor"/>
      </rPr>
      <t>intercept</t>
    </r>
  </si>
  <si>
    <t>o</t>
  </si>
  <si>
    <t>O</t>
  </si>
  <si>
    <t>p</t>
  </si>
  <si>
    <t>P</t>
  </si>
  <si>
    <r>
      <t xml:space="preserve">If you are working on a computer that does not allow macros, you can just </t>
    </r>
    <r>
      <rPr>
        <i/>
        <sz val="11"/>
        <color theme="1"/>
        <rFont val="Calibri"/>
        <family val="2"/>
        <scheme val="minor"/>
      </rPr>
      <t>copy and paste</t>
    </r>
    <r>
      <rPr>
        <sz val="11"/>
        <color theme="1"/>
        <rFont val="Calibri"/>
        <family val="2"/>
        <scheme val="minor"/>
      </rPr>
      <t xml:space="preserve"> the appropriate columns from this Help Sheet onto your own worksheet.</t>
    </r>
  </si>
  <si>
    <t>No extra numbers in these columns</t>
  </si>
  <si>
    <t>q</t>
  </si>
  <si>
    <t>Q</t>
  </si>
  <si>
    <t>r</t>
  </si>
  <si>
    <t>R</t>
  </si>
  <si>
    <t>How to Make a 2D linear Graph</t>
  </si>
  <si>
    <t>s</t>
  </si>
  <si>
    <t>S</t>
  </si>
  <si>
    <t>Select data, independent variable on left</t>
  </si>
  <si>
    <t>t</t>
  </si>
  <si>
    <t>T</t>
  </si>
  <si>
    <t>Insert--&gt;Scatter--&gt;Scatter with only Markers</t>
  </si>
  <si>
    <t>u</t>
  </si>
  <si>
    <t>U</t>
  </si>
  <si>
    <t>For the curious:</t>
  </si>
  <si>
    <t>Click graph--&gt;Design--&gt;Chart Layout--&gt;Layout 1</t>
  </si>
  <si>
    <t>v</t>
  </si>
  <si>
    <t>V</t>
  </si>
  <si>
    <t>How 1D data was created in column C</t>
  </si>
  <si>
    <t>Label Title and axes</t>
  </si>
  <si>
    <t>w</t>
  </si>
  <si>
    <t>W</t>
  </si>
  <si>
    <t>NORM.INV(RAND(),76, 1)</t>
  </si>
  <si>
    <t>X</t>
  </si>
  <si>
    <t>Y</t>
  </si>
  <si>
    <t>How 2D data was created in column H</t>
  </si>
  <si>
    <t>z</t>
  </si>
  <si>
    <t>Z</t>
  </si>
  <si>
    <t>NORM.INV(RAND(),4+G3+7,0.5)</t>
  </si>
  <si>
    <t>Right click on data point--&gt;Add Treadline</t>
  </si>
  <si>
    <r>
      <t>Check Linear, show equation, show R</t>
    </r>
    <r>
      <rPr>
        <vertAlign val="superscript"/>
        <sz val="11"/>
        <color theme="1"/>
        <rFont val="Calibri"/>
        <family val="2"/>
        <scheme val="minor"/>
      </rPr>
      <t>2</t>
    </r>
  </si>
  <si>
    <t>If you want to change decimal showing</t>
  </si>
  <si>
    <t>Right click in equation's box</t>
  </si>
  <si>
    <t>Format Treadline Label--&gt;Number--&gt;Number</t>
  </si>
  <si>
    <t>Then type in the desired number</t>
  </si>
  <si>
    <t>If you want to swap variables</t>
  </si>
  <si>
    <t>Right Click on the graph--&gt;select data--&gt;edit</t>
  </si>
  <si>
    <t>You can alter the "x" and "y" data there.</t>
  </si>
  <si>
    <t>If you want to add a series</t>
  </si>
  <si>
    <t>Right Click graph, select data--&gt;Add</t>
  </si>
  <si>
    <t>Series Namefor Legend, or edit data later</t>
  </si>
  <si>
    <t>&lt;----------</t>
  </si>
  <si>
    <t>NORM.INV(RAND(),-M73,0.5)</t>
  </si>
  <si>
    <t>Enter data</t>
  </si>
  <si>
    <t>click graph--&gt;Layout--&gt;Legend</t>
  </si>
  <si>
    <t>If using for Lab Report, CHANGE VARIABLES LAST</t>
  </si>
  <si>
    <t>Notice in this graph, only change is the bottom "y" to "u"</t>
  </si>
  <si>
    <t>Now F9 changes data, top equation changes but bottom doesn't anymore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</si>
</sst>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vertAlign val="subscript"/>
      <sz val="11"/>
      <color theme="1"/>
      <name val="Symbol"/>
      <family val="1"/>
      <charset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Batang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7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/>
    <xf numFmtId="0" fontId="10" fillId="0" borderId="0" xfId="0" applyFont="1"/>
    <xf numFmtId="0" fontId="0" fillId="0" borderId="0" xfId="0" applyAlignment="1">
      <alignment wrapText="1"/>
    </xf>
    <xf numFmtId="0" fontId="0" fillId="4" borderId="0" xfId="0" applyFill="1" applyAlignment="1">
      <alignment horizontal="left" wrapText="1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3" borderId="0" xfId="0" applyFill="1" applyAlignment="1">
      <alignment horizontal="left" wrapText="1"/>
    </xf>
    <xf numFmtId="0" fontId="1" fillId="2" borderId="6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B-447D-9FA9-19C0529F52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91816"/>
        <c:axId val="186692600"/>
      </c:scatterChart>
      <c:valAx>
        <c:axId val="186691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92600"/>
        <c:crosses val="autoZero"/>
        <c:crossBetween val="midCat"/>
      </c:valAx>
      <c:valAx>
        <c:axId val="1866926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91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D7-41CC-8742-B6E020CB9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93776"/>
        <c:axId val="186694168"/>
      </c:scatterChart>
      <c:valAx>
        <c:axId val="186693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94168"/>
        <c:crosses val="autoZero"/>
        <c:crossBetween val="midCat"/>
      </c:valAx>
      <c:valAx>
        <c:axId val="186694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9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8299487790121863"/>
                  <c:y val="0.30077132764608494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37-4D2D-A11D-4CFD24113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03040"/>
        <c:axId val="186603824"/>
      </c:scatterChart>
      <c:valAx>
        <c:axId val="1866030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03824"/>
        <c:crosses val="autoZero"/>
        <c:crossBetween val="midCat"/>
      </c:valAx>
      <c:valAx>
        <c:axId val="1866038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0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Ex vs.</a:t>
            </a:r>
            <a:r>
              <a:rPr lang="en-US" baseline="0"/>
              <a:t> Why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745166666666666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'Help Sheet'!$H$1:$H$2</c:f>
              <c:strCache>
                <c:ptCount val="2"/>
                <c:pt idx="0">
                  <c:v>y</c:v>
                </c:pt>
                <c:pt idx="1">
                  <c:v>(stinu)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24471786821039893"/>
                  <c:y val="0.41822306694421818"/>
                </c:manualLayout>
              </c:layout>
              <c:numFmt formatCode="#,##0.0000" sourceLinked="0"/>
            </c:trendlineLbl>
          </c:trendline>
          <c:xVal>
            <c:numRef>
              <c:f>'Help Sheet'!$H$3:$H$16</c:f>
              <c:numCache>
                <c:formatCode>General</c:formatCode>
                <c:ptCount val="14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xVal>
          <c:yVal>
            <c:numRef>
              <c:f>'Help Sheet'!$G$3:$G$16</c:f>
              <c:numCache>
                <c:formatCode>General</c:formatCode>
                <c:ptCount val="14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8-4E95-AACC-5576B88BE1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05000"/>
        <c:axId val="186605392"/>
      </c:scatterChart>
      <c:valAx>
        <c:axId val="186605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800" b="1" i="0" baseline="0">
                    <a:effectLst/>
                  </a:rPr>
                  <a:t>y (stinu)</a:t>
                </a:r>
                <a:endParaRPr lang="en-US">
                  <a:effectLst/>
                </a:endParaRP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05392"/>
        <c:crosses val="autoZero"/>
        <c:crossBetween val="midCat"/>
      </c:valAx>
      <c:valAx>
        <c:axId val="186605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86605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53-47E7-9FE9-ED66AD1968A0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53-47E7-9FE9-ED66AD19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94928"/>
        <c:axId val="231495320"/>
      </c:scatterChart>
      <c:valAx>
        <c:axId val="23149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495320"/>
        <c:crosses val="autoZero"/>
        <c:crossBetween val="midCat"/>
      </c:valAx>
      <c:valAx>
        <c:axId val="231495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494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880737925862902"/>
          <c:y val="0.3059346748323126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Why and You vs.</a:t>
            </a:r>
            <a:r>
              <a:rPr lang="en-US" baseline="0"/>
              <a:t> Ex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2791776027996496E-2"/>
          <c:y val="0.19480351414406533"/>
          <c:w val="0.64722575294331264"/>
          <c:h val="0.59104512977544477"/>
        </c:manualLayout>
      </c:layout>
      <c:scatterChart>
        <c:scatterStyle val="lineMarker"/>
        <c:varyColors val="0"/>
        <c:ser>
          <c:idx val="0"/>
          <c:order val="0"/>
          <c:tx>
            <c:v>Why vs. Ex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40226651851411266"/>
                  <c:y val="-0.13131150272882555"/>
                </c:manualLayout>
              </c:layout>
              <c:numFmt formatCode="#,##0.0000" sourceLinked="0"/>
            </c:trendlineLbl>
          </c:trendline>
          <c:xVal>
            <c:strRef>
              <c:f>'Help Sheet'!$G$3:$G$27</c:f>
              <c:strCache>
                <c:ptCount val="17"/>
                <c:pt idx="0">
                  <c:v>-7</c:v>
                </c:pt>
                <c:pt idx="1">
                  <c:v>-6</c:v>
                </c:pt>
                <c:pt idx="2">
                  <c:v>-5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6">
                  <c:v>No extra numbers in these columns</c:v>
                </c:pt>
              </c:strCache>
            </c:strRef>
          </c:xVal>
          <c:yVal>
            <c:numRef>
              <c:f>'Help Sheet'!$H$3:$H$27</c:f>
              <c:numCache>
                <c:formatCode>General</c:formatCode>
                <c:ptCount val="25"/>
                <c:pt idx="0">
                  <c:v>4.0370950262279859</c:v>
                </c:pt>
                <c:pt idx="1">
                  <c:v>4.8774205884120025</c:v>
                </c:pt>
                <c:pt idx="2">
                  <c:v>5.7018426603624226</c:v>
                </c:pt>
                <c:pt idx="3">
                  <c:v>7.0047465507883535</c:v>
                </c:pt>
                <c:pt idx="4">
                  <c:v>7.5561750040750884</c:v>
                </c:pt>
                <c:pt idx="5">
                  <c:v>9.4113027726099148</c:v>
                </c:pt>
                <c:pt idx="6">
                  <c:v>10.520366828017425</c:v>
                </c:pt>
                <c:pt idx="7">
                  <c:v>11.409684720206235</c:v>
                </c:pt>
                <c:pt idx="8">
                  <c:v>11.411658876545815</c:v>
                </c:pt>
                <c:pt idx="9">
                  <c:v>13.632746451992071</c:v>
                </c:pt>
                <c:pt idx="10">
                  <c:v>14.774417429235491</c:v>
                </c:pt>
                <c:pt idx="11">
                  <c:v>14.696705397075091</c:v>
                </c:pt>
                <c:pt idx="12">
                  <c:v>15.874658660285826</c:v>
                </c:pt>
                <c:pt idx="13">
                  <c:v>17.500884639387159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1D-47CC-B860-F231A943B15A}"/>
            </c:ext>
          </c:extLst>
        </c:ser>
        <c:ser>
          <c:idx val="1"/>
          <c:order val="1"/>
          <c:tx>
            <c:v>Why vs. You</c:v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0.53188895903536637"/>
                  <c:y val="0.13166437528642252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 baseline="0"/>
                      <a:t>u = -0.9842x + 0.0271
R² = 0.9477</a:t>
                    </a:r>
                    <a:endParaRPr lang="en-US"/>
                  </a:p>
                </c:rich>
              </c:tx>
              <c:numFmt formatCode="#,##0.0000" sourceLinked="0"/>
            </c:trendlineLbl>
          </c:trendline>
          <c:xVal>
            <c:numRef>
              <c:f>'Help Sheet'!$M$73:$M$77</c:f>
              <c:numCache>
                <c:formatCode>General</c:formatCode>
                <c:ptCount val="5"/>
                <c:pt idx="0">
                  <c:v>-2</c:v>
                </c:pt>
                <c:pt idx="1">
                  <c:v>-1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</c:numCache>
            </c:numRef>
          </c:xVal>
          <c:yVal>
            <c:numRef>
              <c:f>'Help Sheet'!$N$73:$N$77</c:f>
              <c:numCache>
                <c:formatCode>General</c:formatCode>
                <c:ptCount val="5"/>
                <c:pt idx="0">
                  <c:v>2.1016753937718446</c:v>
                </c:pt>
                <c:pt idx="1">
                  <c:v>0.84031349029360847</c:v>
                </c:pt>
                <c:pt idx="2">
                  <c:v>0.24456025181718824</c:v>
                </c:pt>
                <c:pt idx="3">
                  <c:v>-1.6291120609012069</c:v>
                </c:pt>
                <c:pt idx="4">
                  <c:v>-1.9941606398553142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1D-47CC-B860-F231A943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96496"/>
        <c:axId val="231099776"/>
      </c:scatterChart>
      <c:valAx>
        <c:axId val="231496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(units)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099776"/>
        <c:crosses val="autoZero"/>
        <c:crossBetween val="midCat"/>
      </c:valAx>
      <c:valAx>
        <c:axId val="231099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 and u (stinu)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31496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0627252551869191"/>
          <c:y val="0.30064366954130733"/>
          <c:w val="0.28612291326149653"/>
          <c:h val="0.38270716160479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25</xdr:row>
      <xdr:rowOff>76200</xdr:rowOff>
    </xdr:from>
    <xdr:to>
      <xdr:col>12</xdr:col>
      <xdr:colOff>590550</xdr:colOff>
      <xdr:row>33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36</xdr:row>
      <xdr:rowOff>57150</xdr:rowOff>
    </xdr:from>
    <xdr:to>
      <xdr:col>12</xdr:col>
      <xdr:colOff>571500</xdr:colOff>
      <xdr:row>44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</xdr:colOff>
      <xdr:row>49</xdr:row>
      <xdr:rowOff>38100</xdr:rowOff>
    </xdr:from>
    <xdr:to>
      <xdr:col>12</xdr:col>
      <xdr:colOff>581025</xdr:colOff>
      <xdr:row>57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38100</xdr:colOff>
      <xdr:row>61</xdr:row>
      <xdr:rowOff>28575</xdr:rowOff>
    </xdr:from>
    <xdr:to>
      <xdr:col>13</xdr:col>
      <xdr:colOff>47625</xdr:colOff>
      <xdr:row>69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552450</xdr:colOff>
      <xdr:row>77</xdr:row>
      <xdr:rowOff>38100</xdr:rowOff>
    </xdr:from>
    <xdr:to>
      <xdr:col>15</xdr:col>
      <xdr:colOff>85725</xdr:colOff>
      <xdr:row>89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</xdr:colOff>
      <xdr:row>93</xdr:row>
      <xdr:rowOff>85725</xdr:rowOff>
    </xdr:from>
    <xdr:to>
      <xdr:col>15</xdr:col>
      <xdr:colOff>142875</xdr:colOff>
      <xdr:row>106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93"/>
  <sheetViews>
    <sheetView workbookViewId="0">
      <selection activeCell="N8" sqref="N8"/>
    </sheetView>
  </sheetViews>
  <sheetFormatPr defaultRowHeight="15"/>
  <cols>
    <col min="1" max="1" width="9.140625" customWidth="1"/>
    <col min="4" max="4" width="9.85546875" customWidth="1"/>
    <col min="17" max="17" width="7.140625" customWidth="1"/>
    <col min="18" max="18" width="6.7109375" customWidth="1"/>
  </cols>
  <sheetData>
    <row r="1" spans="1:22" ht="19.5" thickBot="1">
      <c r="A1" s="13" t="s">
        <v>0</v>
      </c>
      <c r="B1" s="15"/>
      <c r="C1" s="1" t="s">
        <v>1</v>
      </c>
      <c r="D1" s="1" t="s">
        <v>2</v>
      </c>
      <c r="E1" s="13" t="s">
        <v>3</v>
      </c>
      <c r="F1" s="15"/>
      <c r="G1" s="1" t="s">
        <v>1</v>
      </c>
      <c r="H1" s="1" t="s">
        <v>4</v>
      </c>
      <c r="I1" s="1" t="s">
        <v>2</v>
      </c>
      <c r="K1" s="10" t="s">
        <v>5</v>
      </c>
      <c r="L1" s="11"/>
      <c r="M1" s="12"/>
      <c r="P1" s="17" t="s">
        <v>6</v>
      </c>
      <c r="Q1" s="18"/>
      <c r="R1" s="18"/>
      <c r="S1" s="19"/>
    </row>
    <row r="2" spans="1:22" ht="15.75" thickBot="1">
      <c r="A2" s="17" t="s">
        <v>7</v>
      </c>
      <c r="B2" s="19"/>
      <c r="C2" s="1" t="s">
        <v>8</v>
      </c>
      <c r="D2">
        <f>COUNT(C:C)</f>
        <v>8</v>
      </c>
      <c r="E2" s="17" t="s">
        <v>9</v>
      </c>
      <c r="F2" s="19"/>
      <c r="G2" s="1" t="s">
        <v>8</v>
      </c>
      <c r="H2" s="1" t="s">
        <v>10</v>
      </c>
      <c r="I2">
        <f>IF(COUNT(G:G)=COUNT(H:H),COUNT(G:G), "Your numbers do not match!")</f>
        <v>14</v>
      </c>
      <c r="K2" t="s">
        <v>11</v>
      </c>
      <c r="P2" s="13" t="s">
        <v>12</v>
      </c>
      <c r="Q2" s="14"/>
      <c r="R2" s="14"/>
      <c r="S2" s="15"/>
    </row>
    <row r="3" spans="1:22" ht="15.75" thickBot="1">
      <c r="B3" s="3" t="s">
        <v>13</v>
      </c>
      <c r="C3">
        <v>75.841372655993013</v>
      </c>
      <c r="D3" s="2" t="s">
        <v>14</v>
      </c>
      <c r="F3" s="3" t="s">
        <v>13</v>
      </c>
      <c r="G3">
        <v>-7</v>
      </c>
      <c r="H3">
        <v>4.0370950262279859</v>
      </c>
      <c r="I3" s="1" t="s">
        <v>15</v>
      </c>
      <c r="K3" s="10" t="s">
        <v>16</v>
      </c>
      <c r="L3" s="11"/>
      <c r="M3" s="12"/>
      <c r="P3" s="5" t="s">
        <v>17</v>
      </c>
      <c r="Q3" s="4" t="s">
        <v>17</v>
      </c>
      <c r="R3" s="5" t="s">
        <v>18</v>
      </c>
      <c r="S3" s="4" t="s">
        <v>18</v>
      </c>
      <c r="T3" s="10" t="s">
        <v>19</v>
      </c>
      <c r="U3" s="11"/>
      <c r="V3" s="12"/>
    </row>
    <row r="4" spans="1:22">
      <c r="A4" s="6" t="s">
        <v>20</v>
      </c>
      <c r="B4" s="6"/>
      <c r="C4">
        <v>75.909404692323847</v>
      </c>
      <c r="D4" s="1" t="s">
        <v>8</v>
      </c>
      <c r="G4">
        <v>-6</v>
      </c>
      <c r="H4">
        <v>4.8774205884120025</v>
      </c>
      <c r="I4" s="1" t="s">
        <v>8</v>
      </c>
      <c r="K4" t="s">
        <v>21</v>
      </c>
      <c r="P4" s="5" t="s">
        <v>22</v>
      </c>
      <c r="Q4" s="4" t="s">
        <v>22</v>
      </c>
      <c r="R4" s="5" t="s">
        <v>23</v>
      </c>
      <c r="S4" s="4" t="s">
        <v>23</v>
      </c>
      <c r="T4" t="s">
        <v>24</v>
      </c>
    </row>
    <row r="5" spans="1:22" ht="15.75" thickBot="1">
      <c r="A5" s="6" t="s">
        <v>25</v>
      </c>
      <c r="B5" s="6"/>
      <c r="C5">
        <v>76.972847004772149</v>
      </c>
      <c r="D5">
        <f>AVERAGE(C:C)</f>
        <v>76.25524799434325</v>
      </c>
      <c r="G5">
        <v>-5</v>
      </c>
      <c r="H5">
        <v>5.7018426603624226</v>
      </c>
      <c r="I5">
        <f>SLOPE(H:H,G:G)</f>
        <v>1.0299199735929818</v>
      </c>
      <c r="K5" t="s">
        <v>26</v>
      </c>
      <c r="L5">
        <f>ABS(-76)</f>
        <v>76</v>
      </c>
      <c r="P5" s="5" t="s">
        <v>27</v>
      </c>
      <c r="Q5" s="4" t="s">
        <v>27</v>
      </c>
      <c r="R5" s="5" t="s">
        <v>28</v>
      </c>
      <c r="S5" s="4" t="s">
        <v>28</v>
      </c>
      <c r="T5" t="s">
        <v>29</v>
      </c>
    </row>
    <row r="6" spans="1:22" ht="18.75" thickBot="1">
      <c r="A6" s="6" t="s">
        <v>30</v>
      </c>
      <c r="B6" s="7"/>
      <c r="C6">
        <v>76.765567972783728</v>
      </c>
      <c r="D6" s="1" t="s">
        <v>31</v>
      </c>
      <c r="G6">
        <v>-4</v>
      </c>
      <c r="H6">
        <v>7.0047465507883535</v>
      </c>
      <c r="I6" s="1" t="s">
        <v>32</v>
      </c>
      <c r="K6" s="10" t="s">
        <v>33</v>
      </c>
      <c r="L6" s="11"/>
      <c r="M6" s="12"/>
      <c r="P6" s="5" t="s">
        <v>34</v>
      </c>
      <c r="Q6" s="4" t="s">
        <v>34</v>
      </c>
      <c r="R6" s="5" t="s">
        <v>35</v>
      </c>
      <c r="S6" s="4" t="s">
        <v>35</v>
      </c>
      <c r="T6" t="s">
        <v>36</v>
      </c>
    </row>
    <row r="7" spans="1:22">
      <c r="A7" s="7" t="s">
        <v>37</v>
      </c>
      <c r="C7">
        <v>74.900457841958314</v>
      </c>
      <c r="D7" s="1" t="s">
        <v>8</v>
      </c>
      <c r="G7">
        <v>-3</v>
      </c>
      <c r="H7">
        <v>7.5561750040750884</v>
      </c>
      <c r="I7" s="1" t="s">
        <v>8</v>
      </c>
      <c r="K7" t="s">
        <v>38</v>
      </c>
      <c r="P7" s="5" t="s">
        <v>39</v>
      </c>
      <c r="Q7" s="4" t="s">
        <v>39</v>
      </c>
      <c r="R7" s="5" t="s">
        <v>40</v>
      </c>
      <c r="S7" s="4" t="s">
        <v>40</v>
      </c>
    </row>
    <row r="8" spans="1:22" ht="15.75" thickBot="1">
      <c r="C8">
        <v>76.968056473255572</v>
      </c>
      <c r="D8">
        <f>_xlfn.STDEV.S(C:C)</f>
        <v>0.89915140805851501</v>
      </c>
      <c r="G8">
        <v>-2</v>
      </c>
      <c r="H8">
        <v>9.4113027726099148</v>
      </c>
      <c r="I8">
        <f>INTERCEPT(H:H,G:G)</f>
        <v>11.115653244312266</v>
      </c>
      <c r="K8" t="s">
        <v>26</v>
      </c>
      <c r="L8">
        <f>PI()</f>
        <v>3.1415926535897931</v>
      </c>
      <c r="P8" s="5" t="s">
        <v>41</v>
      </c>
      <c r="Q8" s="4" t="s">
        <v>41</v>
      </c>
      <c r="R8" s="5" t="s">
        <v>42</v>
      </c>
      <c r="S8" s="4" t="s">
        <v>42</v>
      </c>
    </row>
    <row r="9" spans="1:22" ht="19.5" thickBot="1">
      <c r="C9">
        <v>77.399112005079715</v>
      </c>
      <c r="D9" s="1" t="s">
        <v>43</v>
      </c>
      <c r="G9">
        <v>-1</v>
      </c>
      <c r="H9">
        <v>10.520366828017425</v>
      </c>
      <c r="I9" s="1" t="s">
        <v>44</v>
      </c>
      <c r="K9" s="10" t="s">
        <v>45</v>
      </c>
      <c r="L9" s="11"/>
      <c r="M9" s="12"/>
      <c r="P9" s="5" t="s">
        <v>46</v>
      </c>
      <c r="Q9" s="4" t="s">
        <v>46</v>
      </c>
      <c r="R9" s="5" t="s">
        <v>47</v>
      </c>
      <c r="S9" s="4" t="s">
        <v>47</v>
      </c>
    </row>
    <row r="10" spans="1:22">
      <c r="C10">
        <v>75.285165308579593</v>
      </c>
      <c r="D10" s="1" t="s">
        <v>8</v>
      </c>
      <c r="G10">
        <v>0</v>
      </c>
      <c r="H10">
        <v>11.409684720206235</v>
      </c>
      <c r="I10">
        <f>RSQ(H:H,G:G)</f>
        <v>0.99068377098326721</v>
      </c>
      <c r="K10" t="s">
        <v>48</v>
      </c>
      <c r="P10" s="5" t="s">
        <v>49</v>
      </c>
      <c r="Q10" s="4" t="s">
        <v>49</v>
      </c>
      <c r="R10" s="5" t="s">
        <v>50</v>
      </c>
      <c r="S10" s="4" t="s">
        <v>50</v>
      </c>
    </row>
    <row r="11" spans="1:22" ht="18">
      <c r="D11">
        <f>D8/SQRT(D2)</f>
        <v>0.31789802897580421</v>
      </c>
      <c r="G11">
        <v>1</v>
      </c>
      <c r="H11">
        <v>11.411658876545815</v>
      </c>
      <c r="I11" s="1" t="s">
        <v>51</v>
      </c>
      <c r="K11" t="s">
        <v>26</v>
      </c>
      <c r="L11">
        <f>$G3</f>
        <v>-7</v>
      </c>
      <c r="M11">
        <f>$G3</f>
        <v>-7</v>
      </c>
      <c r="P11" s="5" t="s">
        <v>52</v>
      </c>
      <c r="Q11" s="4" t="s">
        <v>52</v>
      </c>
      <c r="R11" s="5" t="s">
        <v>53</v>
      </c>
      <c r="S11" s="4" t="s">
        <v>53</v>
      </c>
    </row>
    <row r="12" spans="1:22">
      <c r="G12">
        <v>2</v>
      </c>
      <c r="H12">
        <v>13.632746451992071</v>
      </c>
      <c r="I12" s="1" t="s">
        <v>8</v>
      </c>
      <c r="L12">
        <f>$G4</f>
        <v>-6</v>
      </c>
      <c r="M12">
        <f>$G4</f>
        <v>-6</v>
      </c>
      <c r="P12" s="5" t="s">
        <v>54</v>
      </c>
      <c r="Q12" s="4" t="s">
        <v>54</v>
      </c>
      <c r="R12" s="5" t="s">
        <v>55</v>
      </c>
      <c r="S12" s="4" t="s">
        <v>55</v>
      </c>
    </row>
    <row r="13" spans="1:22">
      <c r="C13" s="16" t="s">
        <v>56</v>
      </c>
      <c r="G13">
        <v>3</v>
      </c>
      <c r="H13">
        <v>14.774417429235491</v>
      </c>
      <c r="I13">
        <f>STEYX(H:H,G:G)</f>
        <v>0.43486665904435412</v>
      </c>
      <c r="K13" t="s">
        <v>57</v>
      </c>
      <c r="P13" s="5" t="s">
        <v>58</v>
      </c>
      <c r="Q13" s="4" t="s">
        <v>58</v>
      </c>
      <c r="R13" s="5" t="s">
        <v>59</v>
      </c>
      <c r="S13" s="4" t="s">
        <v>59</v>
      </c>
    </row>
    <row r="14" spans="1:22" ht="18" customHeight="1">
      <c r="C14" s="16"/>
      <c r="G14">
        <v>4</v>
      </c>
      <c r="H14">
        <v>14.696705397075091</v>
      </c>
      <c r="I14" s="1" t="s">
        <v>60</v>
      </c>
      <c r="K14" t="s">
        <v>26</v>
      </c>
      <c r="L14">
        <f>G$3</f>
        <v>-7</v>
      </c>
      <c r="M14">
        <f>H$3</f>
        <v>4.0370950262279859</v>
      </c>
      <c r="P14" s="5" t="s">
        <v>61</v>
      </c>
      <c r="Q14" s="4" t="s">
        <v>61</v>
      </c>
      <c r="R14" s="5" t="s">
        <v>62</v>
      </c>
      <c r="S14" s="4" t="s">
        <v>62</v>
      </c>
    </row>
    <row r="15" spans="1:22">
      <c r="C15" s="16"/>
      <c r="G15">
        <v>5</v>
      </c>
      <c r="H15">
        <v>15.874658660285826</v>
      </c>
      <c r="I15" s="1" t="s">
        <v>8</v>
      </c>
      <c r="L15">
        <f>G$3</f>
        <v>-7</v>
      </c>
      <c r="M15">
        <f>H$3</f>
        <v>4.0370950262279859</v>
      </c>
      <c r="P15" s="5" t="s">
        <v>63</v>
      </c>
      <c r="Q15" s="4" t="s">
        <v>63</v>
      </c>
      <c r="R15" s="5" t="s">
        <v>64</v>
      </c>
      <c r="S15" s="4" t="s">
        <v>64</v>
      </c>
    </row>
    <row r="16" spans="1:22">
      <c r="C16" s="16"/>
      <c r="G16">
        <v>6</v>
      </c>
      <c r="H16">
        <v>17.500884639387159</v>
      </c>
      <c r="I16">
        <f>I13*SQRT(I2/(I2*SUMSQ(G:G)-SUM(G:G)^2))</f>
        <v>2.8831378750456965E-2</v>
      </c>
      <c r="K16" t="s">
        <v>65</v>
      </c>
      <c r="P16" s="5" t="s">
        <v>66</v>
      </c>
      <c r="Q16" s="4" t="s">
        <v>66</v>
      </c>
      <c r="R16" s="5" t="s">
        <v>2</v>
      </c>
      <c r="S16" s="4" t="s">
        <v>2</v>
      </c>
    </row>
    <row r="17" spans="1:19" ht="18">
      <c r="I17" s="1" t="s">
        <v>67</v>
      </c>
      <c r="K17" t="s">
        <v>26</v>
      </c>
      <c r="L17">
        <f>$G$3</f>
        <v>-7</v>
      </c>
      <c r="M17">
        <f>$G$3</f>
        <v>-7</v>
      </c>
      <c r="P17" s="5" t="s">
        <v>68</v>
      </c>
      <c r="Q17" s="4" t="s">
        <v>68</v>
      </c>
      <c r="R17" s="5" t="s">
        <v>69</v>
      </c>
      <c r="S17" s="4" t="s">
        <v>69</v>
      </c>
    </row>
    <row r="18" spans="1:19" ht="15" customHeight="1">
      <c r="B18" s="8"/>
      <c r="C18" s="8"/>
      <c r="D18" s="8"/>
      <c r="I18" s="1" t="s">
        <v>8</v>
      </c>
      <c r="L18">
        <f>$G$3</f>
        <v>-7</v>
      </c>
      <c r="M18">
        <f>$G$3</f>
        <v>-7</v>
      </c>
      <c r="P18" s="5" t="s">
        <v>70</v>
      </c>
      <c r="Q18" s="4" t="s">
        <v>70</v>
      </c>
      <c r="R18" s="5" t="s">
        <v>71</v>
      </c>
      <c r="S18" s="4" t="s">
        <v>71</v>
      </c>
    </row>
    <row r="19" spans="1:19" ht="15" customHeight="1">
      <c r="A19" s="9" t="s">
        <v>72</v>
      </c>
      <c r="B19" s="9"/>
      <c r="C19" s="9"/>
      <c r="D19" s="9"/>
      <c r="G19" s="16" t="s">
        <v>73</v>
      </c>
      <c r="H19" s="16"/>
      <c r="I19">
        <f>I13*SQRT(SUMSQ(G:G)/(I2*SUMSQ(G:G)-SUM(G:G)^2))</f>
        <v>0.11711361411365875</v>
      </c>
      <c r="P19" s="5" t="s">
        <v>74</v>
      </c>
      <c r="Q19" s="4" t="s">
        <v>74</v>
      </c>
      <c r="R19" s="5" t="s">
        <v>75</v>
      </c>
      <c r="S19" s="4" t="s">
        <v>75</v>
      </c>
    </row>
    <row r="20" spans="1:19" ht="15.75" thickBot="1">
      <c r="A20" s="9"/>
      <c r="B20" s="9"/>
      <c r="C20" s="9"/>
      <c r="D20" s="9"/>
      <c r="G20" s="16"/>
      <c r="H20" s="16"/>
      <c r="P20" s="5" t="s">
        <v>76</v>
      </c>
      <c r="Q20" s="4" t="s">
        <v>76</v>
      </c>
      <c r="R20" s="5" t="s">
        <v>77</v>
      </c>
      <c r="S20" s="4" t="s">
        <v>77</v>
      </c>
    </row>
    <row r="21" spans="1:19" ht="15.75" thickBot="1">
      <c r="A21" s="9"/>
      <c r="B21" s="9"/>
      <c r="C21" s="9"/>
      <c r="D21" s="9"/>
      <c r="I21" s="10" t="s">
        <v>78</v>
      </c>
      <c r="J21" s="11"/>
      <c r="K21" s="12"/>
      <c r="P21" s="5" t="s">
        <v>79</v>
      </c>
      <c r="Q21" s="4" t="s">
        <v>79</v>
      </c>
      <c r="R21" s="5" t="s">
        <v>80</v>
      </c>
      <c r="S21" s="4" t="s">
        <v>80</v>
      </c>
    </row>
    <row r="22" spans="1:19">
      <c r="A22" s="9"/>
      <c r="B22" s="9"/>
      <c r="C22" s="9"/>
      <c r="D22" s="9"/>
      <c r="I22" t="s">
        <v>81</v>
      </c>
      <c r="P22" s="5" t="s">
        <v>82</v>
      </c>
      <c r="Q22" s="4" t="s">
        <v>82</v>
      </c>
      <c r="R22" s="5" t="s">
        <v>83</v>
      </c>
      <c r="S22" s="4" t="s">
        <v>83</v>
      </c>
    </row>
    <row r="23" spans="1:19">
      <c r="A23" s="9"/>
      <c r="B23" s="9"/>
      <c r="C23" s="9"/>
      <c r="D23" s="9"/>
      <c r="I23" t="s">
        <v>84</v>
      </c>
      <c r="P23" s="5" t="s">
        <v>85</v>
      </c>
      <c r="Q23" s="4" t="s">
        <v>85</v>
      </c>
      <c r="R23" s="5" t="s">
        <v>86</v>
      </c>
      <c r="S23" s="4" t="s">
        <v>86</v>
      </c>
    </row>
    <row r="24" spans="1:19">
      <c r="A24" t="s">
        <v>87</v>
      </c>
      <c r="I24" t="s">
        <v>88</v>
      </c>
      <c r="P24" s="5" t="s">
        <v>89</v>
      </c>
      <c r="Q24" s="4" t="s">
        <v>89</v>
      </c>
      <c r="R24" s="5" t="s">
        <v>90</v>
      </c>
      <c r="S24" s="4" t="s">
        <v>90</v>
      </c>
    </row>
    <row r="25" spans="1:19">
      <c r="A25" t="s">
        <v>91</v>
      </c>
      <c r="I25" t="s">
        <v>92</v>
      </c>
      <c r="P25" s="5" t="s">
        <v>93</v>
      </c>
      <c r="Q25" s="4" t="s">
        <v>93</v>
      </c>
      <c r="R25" s="5" t="s">
        <v>94</v>
      </c>
      <c r="S25" s="4" t="s">
        <v>94</v>
      </c>
    </row>
    <row r="26" spans="1:19">
      <c r="A26" t="s">
        <v>95</v>
      </c>
      <c r="P26" s="5" t="s">
        <v>1</v>
      </c>
      <c r="Q26" s="4" t="s">
        <v>1</v>
      </c>
      <c r="R26" s="5" t="s">
        <v>96</v>
      </c>
      <c r="S26" s="4" t="s">
        <v>96</v>
      </c>
    </row>
    <row r="27" spans="1:19">
      <c r="P27" s="5" t="s">
        <v>4</v>
      </c>
      <c r="Q27" s="4" t="s">
        <v>4</v>
      </c>
      <c r="R27" s="5" t="s">
        <v>97</v>
      </c>
      <c r="S27" s="4" t="s">
        <v>97</v>
      </c>
    </row>
    <row r="28" spans="1:19">
      <c r="A28" t="s">
        <v>98</v>
      </c>
      <c r="P28" s="5" t="s">
        <v>99</v>
      </c>
      <c r="Q28" s="4" t="s">
        <v>99</v>
      </c>
      <c r="R28" s="5" t="s">
        <v>100</v>
      </c>
      <c r="S28" s="4" t="s">
        <v>100</v>
      </c>
    </row>
    <row r="29" spans="1:19">
      <c r="A29" t="s">
        <v>101</v>
      </c>
    </row>
    <row r="35" spans="9:9">
      <c r="I35" t="s">
        <v>102</v>
      </c>
    </row>
    <row r="36" spans="9:9" ht="17.25">
      <c r="I36" t="s">
        <v>103</v>
      </c>
    </row>
    <row r="46" spans="9:9">
      <c r="I46" t="s">
        <v>104</v>
      </c>
    </row>
    <row r="47" spans="9:9">
      <c r="I47" t="s">
        <v>105</v>
      </c>
    </row>
    <row r="48" spans="9:9">
      <c r="I48" t="s">
        <v>106</v>
      </c>
    </row>
    <row r="49" spans="9:9">
      <c r="I49" t="s">
        <v>107</v>
      </c>
    </row>
    <row r="59" spans="9:9">
      <c r="I59" t="s">
        <v>108</v>
      </c>
    </row>
    <row r="60" spans="9:9">
      <c r="I60" t="s">
        <v>109</v>
      </c>
    </row>
    <row r="61" spans="9:9">
      <c r="I61" t="s">
        <v>110</v>
      </c>
    </row>
    <row r="71" spans="9:16">
      <c r="I71" t="s">
        <v>111</v>
      </c>
      <c r="M71" s="1" t="s">
        <v>1</v>
      </c>
      <c r="N71" s="1" t="s">
        <v>85</v>
      </c>
    </row>
    <row r="72" spans="9:16">
      <c r="I72" t="s">
        <v>112</v>
      </c>
      <c r="M72" s="1" t="s">
        <v>8</v>
      </c>
      <c r="N72" s="1" t="s">
        <v>10</v>
      </c>
    </row>
    <row r="73" spans="9:16">
      <c r="I73" t="s">
        <v>113</v>
      </c>
      <c r="M73">
        <v>-2</v>
      </c>
      <c r="N73">
        <v>2.1016753937718446</v>
      </c>
      <c r="O73" t="s">
        <v>114</v>
      </c>
      <c r="P73" t="s">
        <v>115</v>
      </c>
    </row>
    <row r="74" spans="9:16">
      <c r="I74" t="s">
        <v>116</v>
      </c>
      <c r="M74">
        <v>-1</v>
      </c>
      <c r="N74">
        <v>0.84031349029360847</v>
      </c>
    </row>
    <row r="75" spans="9:16">
      <c r="I75" t="s">
        <v>117</v>
      </c>
      <c r="M75">
        <v>0</v>
      </c>
      <c r="N75">
        <v>0.24456025181718824</v>
      </c>
    </row>
    <row r="76" spans="9:16">
      <c r="M76">
        <v>1</v>
      </c>
      <c r="N76">
        <v>-1.6291120609012069</v>
      </c>
    </row>
    <row r="77" spans="9:16">
      <c r="M77">
        <v>2</v>
      </c>
      <c r="N77">
        <v>-1.9941606398553142</v>
      </c>
    </row>
    <row r="91" spans="9:9">
      <c r="I91" t="s">
        <v>118</v>
      </c>
    </row>
    <row r="92" spans="9:9">
      <c r="I92" t="s">
        <v>119</v>
      </c>
    </row>
    <row r="93" spans="9:9">
      <c r="I93" t="s">
        <v>120</v>
      </c>
    </row>
  </sheetData>
  <mergeCells count="15">
    <mergeCell ref="K1:M1"/>
    <mergeCell ref="P1:S1"/>
    <mergeCell ref="A2:B2"/>
    <mergeCell ref="A1:B1"/>
    <mergeCell ref="E2:F2"/>
    <mergeCell ref="E1:F1"/>
    <mergeCell ref="A19:D23"/>
    <mergeCell ref="T3:V3"/>
    <mergeCell ref="K6:M6"/>
    <mergeCell ref="K9:M9"/>
    <mergeCell ref="P2:S2"/>
    <mergeCell ref="I21:K21"/>
    <mergeCell ref="C13:C16"/>
    <mergeCell ref="G19:H20"/>
    <mergeCell ref="K3:M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Chandra Yelleswarapu</cp:lastModifiedBy>
  <cp:revision/>
  <dcterms:created xsi:type="dcterms:W3CDTF">2006-09-16T00:00:00Z</dcterms:created>
  <dcterms:modified xsi:type="dcterms:W3CDTF">2015-06-01T18:12:13Z</dcterms:modified>
</cp:coreProperties>
</file>