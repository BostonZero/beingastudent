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7 - Capacitors/"/>
    </mc:Choice>
  </mc:AlternateContent>
  <xr:revisionPtr revIDLastSave="422" documentId="13_ncr:1_{6C06F67C-F1C3-408E-98C4-317ADEB61EDB}" xr6:coauthVersionLast="45" xr6:coauthVersionMax="45" xr10:uidLastSave="{6136E603-1006-4A00-9FB1-64F1D99414AD}"/>
  <bookViews>
    <workbookView xWindow="38280" yWindow="-120" windowWidth="38640" windowHeight="21840" xr2:uid="{00000000-000D-0000-FFFF-FFFF00000000}"/>
  </bookViews>
  <sheets>
    <sheet name="Sheet1" sheetId="9" r:id="rId1"/>
    <sheet name="Sheet2" sheetId="10" r:id="rId2"/>
    <sheet name="Sheet3" sheetId="11" r:id="rId3"/>
    <sheet name="Help Sheet" sheetId="5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9" l="1"/>
  <c r="S7" i="9"/>
  <c r="P3" i="9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L5" i="9"/>
  <c r="O3" i="9"/>
  <c r="E5" i="9"/>
  <c r="L16" i="9"/>
  <c r="O5" i="9"/>
  <c r="T7" i="9"/>
  <c r="E3" i="9"/>
  <c r="S5" i="9"/>
  <c r="T5" i="9"/>
  <c r="T3" i="9"/>
  <c r="F3" i="9"/>
  <c r="F5" i="9"/>
  <c r="L19" i="9"/>
  <c r="L13" i="9"/>
  <c r="L10" i="9"/>
  <c r="L8" i="9"/>
  <c r="L2" i="9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<sst xmlns="http://schemas.openxmlformats.org/spreadsheetml/2006/main" count="239" uniqueCount="147">
  <si>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</si>
  <si>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</si>
  <si>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</si>
  <si>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</si>
  <si>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</si>
  <si>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</si>
  <si>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</si>
  <si>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</si>
  <si>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</si>
  <si>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</si>
  <si>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</si>
  <si>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</si>
  <si>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</si>
  <si>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</si>
  <si>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</si>
  <si>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</si>
  <si>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</si>
  <si>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</si>
  <si>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</si>
  <si>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</si>
  <si>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</si>
  <si>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</si>
  <si>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</si>
  <si>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</si>
  <si>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</si>
  <si>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</si>
  <si>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</si>
  <si>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</si>
  <si>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</si>
  <si>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</si>
  <si>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</si>
  <si>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</si>
  <si>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</si>
  <si>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</si>
  <si>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</si>
  <si>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</si>
  <si>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</si>
  <si>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</si>
  <si>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</si>
  <si>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</si>
  <si>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</si>
  <si>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</si>
  <si>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</si>
  <si>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</si>
  <si>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</si>
  <si>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</si>
  <si>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</si>
  <si>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</si>
  <si>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</si>
  <si>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</si>
  <si>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</si>
  <si>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</si>
  <si>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</si>
  <si>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</si>
  <si>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</si>
  <si>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</si>
  <si>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</si>
  <si>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</si>
  <si>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</si>
  <si>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</si>
  <si>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</si>
  <si>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</si>
  <si>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</si>
  <si>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</si>
  <si>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</si>
  <si>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</si>
  <si>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</si>
  <si>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</si>
  <si>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</si>
  <si>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</si>
  <si>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</si>
  <si>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</si>
  <si>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</si>
  <si>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</si>
  <si>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</si>
  <si>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</si>
  <si>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</si>
  <si>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</si>
  <si>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</si>
  <si>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</si>
  <si>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</si>
  <si>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</si>
  <si>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</si>
  <si>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</si>
  <si>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</si>
  <si>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</si>
  <si>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</si>
  <si>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</si>
  <si>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</si>
  <si>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</si>
  <si>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</si>
  <si>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</si>
  <si>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</si>
  <si>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</si>
  <si>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</si>
  <si>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</si>
  <si>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</si>
  <si>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</si>
  <si>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</si>
  <si>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</si>
  <si>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</si>
  <si>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</si>
  <si>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</si>
  <si>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</si>
  <si>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</si>
  <si>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</si>
  <si>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</si>
  <si>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</si>
  <si>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</si>
  <si>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</si>
  <si>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</si>
  <si>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</si>
  <si>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</si>
  <si>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</si>
  <si>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</si>
  <si>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</si>
  <si>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</si>
  <si>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</si>
  <si>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</si>
  <si>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</si>
  <si>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</si>
  <si>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 xml:space="preserve"> t (ms)</t>
  </si>
  <si>
    <t>Vc (V)</t>
  </si>
  <si>
    <t>%diff</t>
  </si>
  <si>
    <r>
      <t>R</t>
    </r>
    <r>
      <rPr>
        <vertAlign val="subscript"/>
        <sz val="14"/>
        <color theme="1"/>
        <rFont val="Calibri (Body)"/>
      </rPr>
      <t>1</t>
    </r>
    <r>
      <rPr>
        <sz val="14"/>
        <color theme="1"/>
        <rFont val="Calibri"/>
        <family val="2"/>
        <scheme val="minor"/>
      </rPr>
      <t xml:space="preserve"> (kΩ)</t>
    </r>
  </si>
  <si>
    <r>
      <t>C</t>
    </r>
    <r>
      <rPr>
        <vertAlign val="subscript"/>
        <sz val="14"/>
        <color theme="1"/>
        <rFont val="Calibri (Body)"/>
      </rPr>
      <t>1,dm</t>
    </r>
    <r>
      <rPr>
        <sz val="14"/>
        <color theme="1"/>
        <rFont val="Calibri"/>
        <family val="2"/>
        <scheme val="minor"/>
      </rPr>
      <t xml:space="preserve"> (µF)</t>
    </r>
  </si>
  <si>
    <r>
      <t>C</t>
    </r>
    <r>
      <rPr>
        <vertAlign val="subscript"/>
        <sz val="14"/>
        <color theme="1"/>
        <rFont val="Calibri (Body)"/>
      </rPr>
      <t>2,dm</t>
    </r>
    <r>
      <rPr>
        <sz val="14"/>
        <color theme="1"/>
        <rFont val="Calibri"/>
        <family val="2"/>
        <scheme val="minor"/>
      </rPr>
      <t xml:space="preserve"> (µF)</t>
    </r>
  </si>
  <si>
    <r>
      <t>C</t>
    </r>
    <r>
      <rPr>
        <vertAlign val="subscript"/>
        <sz val="14"/>
        <color theme="1"/>
        <rFont val="Calibri (Body)"/>
      </rPr>
      <t>p,dm</t>
    </r>
    <r>
      <rPr>
        <sz val="14"/>
        <color theme="1"/>
        <rFont val="Calibri"/>
        <family val="2"/>
        <scheme val="minor"/>
      </rPr>
      <t xml:space="preserve"> (µF)</t>
    </r>
  </si>
  <si>
    <r>
      <t>C</t>
    </r>
    <r>
      <rPr>
        <vertAlign val="subscript"/>
        <sz val="14"/>
        <color theme="1"/>
        <rFont val="Calibri (Body)"/>
      </rPr>
      <t xml:space="preserve">s,dm </t>
    </r>
    <r>
      <rPr>
        <sz val="14"/>
        <color theme="1"/>
        <rFont val="Calibri"/>
        <family val="2"/>
        <scheme val="minor"/>
      </rPr>
      <t>(µF)</t>
    </r>
  </si>
  <si>
    <r>
      <t>V</t>
    </r>
    <r>
      <rPr>
        <vertAlign val="subscript"/>
        <sz val="14"/>
        <color theme="1"/>
        <rFont val="Calibri (Body)"/>
      </rPr>
      <t>0</t>
    </r>
    <r>
      <rPr>
        <sz val="14"/>
        <color theme="1"/>
        <rFont val="Calibri"/>
        <family val="2"/>
        <scheme val="minor"/>
      </rPr>
      <t xml:space="preserve"> (V)</t>
    </r>
  </si>
  <si>
    <r>
      <t>V</t>
    </r>
    <r>
      <rPr>
        <vertAlign val="subscript"/>
        <sz val="14"/>
        <color theme="1"/>
        <rFont val="Calibri (Body)"/>
      </rPr>
      <t>0/</t>
    </r>
    <r>
      <rPr>
        <sz val="14"/>
        <color theme="1"/>
        <rFont val="Calibri"/>
        <family val="2"/>
        <scheme val="minor"/>
      </rPr>
      <t>V</t>
    </r>
    <r>
      <rPr>
        <vertAlign val="subscript"/>
        <sz val="14"/>
        <color theme="1"/>
        <rFont val="Calibri (Body)"/>
      </rPr>
      <t>c</t>
    </r>
  </si>
  <si>
    <r>
      <t>ln(V</t>
    </r>
    <r>
      <rPr>
        <vertAlign val="subscript"/>
        <sz val="14"/>
        <color theme="1"/>
        <rFont val="Calibri (Body)"/>
      </rPr>
      <t>0</t>
    </r>
    <r>
      <rPr>
        <sz val="14"/>
        <color theme="1"/>
        <rFont val="Calibri"/>
        <family val="2"/>
        <scheme val="minor"/>
      </rPr>
      <t>/V</t>
    </r>
    <r>
      <rPr>
        <vertAlign val="subscript"/>
        <sz val="14"/>
        <color theme="1"/>
        <rFont val="Calibri (Body)"/>
      </rPr>
      <t>c</t>
    </r>
    <r>
      <rPr>
        <sz val="14"/>
        <color theme="1"/>
        <rFont val="Calibri"/>
        <family val="2"/>
        <scheme val="minor"/>
      </rPr>
      <t>)</t>
    </r>
  </si>
  <si>
    <r>
      <t>C</t>
    </r>
    <r>
      <rPr>
        <vertAlign val="subscript"/>
        <sz val="14"/>
        <color theme="1"/>
        <rFont val="Calibri (Body)"/>
      </rPr>
      <t>dm</t>
    </r>
    <r>
      <rPr>
        <sz val="14"/>
        <color theme="1"/>
        <rFont val="Calibri"/>
        <family val="2"/>
        <scheme val="minor"/>
      </rPr>
      <t xml:space="preserve"> (µF)</t>
    </r>
  </si>
  <si>
    <t>Part 2</t>
  </si>
  <si>
    <t>Part 1</t>
  </si>
  <si>
    <t>Part 3</t>
  </si>
  <si>
    <r>
      <t>C</t>
    </r>
    <r>
      <rPr>
        <vertAlign val="subscript"/>
        <sz val="14"/>
        <color theme="1"/>
        <rFont val="Calibri (Body)"/>
      </rPr>
      <t xml:space="preserve">s,th </t>
    </r>
    <r>
      <rPr>
        <sz val="14"/>
        <color theme="1"/>
        <rFont val="Calibri"/>
        <family val="2"/>
        <scheme val="minor"/>
      </rPr>
      <t>(µF)</t>
    </r>
  </si>
  <si>
    <r>
      <t>C</t>
    </r>
    <r>
      <rPr>
        <vertAlign val="subscript"/>
        <sz val="14"/>
        <color theme="1"/>
        <rFont val="Calibri (Body)"/>
      </rPr>
      <t>p,th</t>
    </r>
    <r>
      <rPr>
        <sz val="14"/>
        <color theme="1"/>
        <rFont val="Calibri"/>
        <family val="2"/>
        <scheme val="minor"/>
      </rPr>
      <t xml:space="preserve"> (µF)</t>
    </r>
  </si>
  <si>
    <r>
      <t>C</t>
    </r>
    <r>
      <rPr>
        <vertAlign val="subscript"/>
        <sz val="14"/>
        <color theme="1"/>
        <rFont val="Calibri"/>
        <family val="2"/>
        <scheme val="minor"/>
      </rPr>
      <t>1,exp</t>
    </r>
    <r>
      <rPr>
        <sz val="14"/>
        <color theme="1"/>
        <rFont val="Calibri"/>
        <family val="2"/>
        <scheme val="minor"/>
      </rPr>
      <t xml:space="preserve"> (µF)</t>
    </r>
  </si>
  <si>
    <r>
      <t>S</t>
    </r>
    <r>
      <rPr>
        <vertAlign val="subscript"/>
        <sz val="14"/>
        <color theme="1"/>
        <rFont val="Calibri"/>
        <family val="2"/>
        <scheme val="minor"/>
      </rPr>
      <t>C1,exp</t>
    </r>
  </si>
  <si>
    <r>
      <t>t</t>
    </r>
    <r>
      <rPr>
        <vertAlign val="subscript"/>
        <sz val="14"/>
        <color theme="1"/>
        <rFont val="Calibri (Body)"/>
      </rPr>
      <t xml:space="preserve">1/2C1,th </t>
    </r>
    <r>
      <rPr>
        <sz val="14"/>
        <color theme="1"/>
        <rFont val="Calibri (Body)"/>
      </rPr>
      <t>(ms)</t>
    </r>
  </si>
  <si>
    <r>
      <t>t</t>
    </r>
    <r>
      <rPr>
        <vertAlign val="subscript"/>
        <sz val="14"/>
        <color theme="1"/>
        <rFont val="Calibri (Body)"/>
      </rPr>
      <t xml:space="preserve">1/2Cs,th </t>
    </r>
    <r>
      <rPr>
        <sz val="14"/>
        <color theme="1"/>
        <rFont val="Calibri (Body)"/>
      </rPr>
      <t>(ms)</t>
    </r>
  </si>
  <si>
    <r>
      <t>t</t>
    </r>
    <r>
      <rPr>
        <vertAlign val="subscript"/>
        <sz val="14"/>
        <color theme="1"/>
        <rFont val="Calibri (Body)"/>
      </rPr>
      <t xml:space="preserve">1/2Cp,th </t>
    </r>
    <r>
      <rPr>
        <sz val="14"/>
        <color theme="1"/>
        <rFont val="Calibri (Body)"/>
      </rPr>
      <t>(ms)</t>
    </r>
  </si>
  <si>
    <r>
      <t>t</t>
    </r>
    <r>
      <rPr>
        <vertAlign val="subscript"/>
        <sz val="14"/>
        <color theme="1"/>
        <rFont val="Calibri (Body)"/>
      </rPr>
      <t xml:space="preserve">1/2Cp,exp </t>
    </r>
    <r>
      <rPr>
        <sz val="14"/>
        <color theme="1"/>
        <rFont val="Calibri (Body)"/>
      </rPr>
      <t>(ms)</t>
    </r>
  </si>
  <si>
    <r>
      <t>t</t>
    </r>
    <r>
      <rPr>
        <vertAlign val="subscript"/>
        <sz val="14"/>
        <color theme="1"/>
        <rFont val="Calibri (Body)"/>
      </rPr>
      <t xml:space="preserve">1/2Cs,exp </t>
    </r>
    <r>
      <rPr>
        <sz val="14"/>
        <color theme="1"/>
        <rFont val="Calibri (Body)"/>
      </rPr>
      <t>(ms)</t>
    </r>
  </si>
  <si>
    <r>
      <t>t</t>
    </r>
    <r>
      <rPr>
        <vertAlign val="subscript"/>
        <sz val="14"/>
        <color theme="1"/>
        <rFont val="Calibri (Body)"/>
      </rPr>
      <t xml:space="preserve">1/2C,exp </t>
    </r>
    <r>
      <rPr>
        <sz val="14"/>
        <color theme="1"/>
        <rFont val="Calibri (Body)"/>
      </rPr>
      <t>(ms)</t>
    </r>
  </si>
  <si>
    <t>1/csdm = 1/c1 + 1/c2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</si>
</sst>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4"/>
      <color theme="1"/>
      <name val="Calibri (Body)"/>
    </font>
    <font>
      <b/>
      <sz val="14"/>
      <name val="Arial"/>
      <family val="2"/>
    </font>
    <font>
      <sz val="14"/>
      <color theme="1"/>
      <name val="Calibri (Body)"/>
    </font>
    <font>
      <vertAlign val="subscript"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1" fillId="0" borderId="0" xfId="0" applyFont="1" applyFill="1" applyBorder="1" applyAlignment="1">
      <alignment horizontal="center"/>
    </xf>
    <xf numFmtId="0" fontId="11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Fill="1"/>
    <xf numFmtId="164" fontId="11" fillId="0" borderId="0" xfId="0" applyNumberFormat="1" applyFont="1" applyFill="1" applyBorder="1"/>
    <xf numFmtId="2" fontId="11" fillId="0" borderId="0" xfId="0" applyNumberFormat="1" applyFont="1" applyFill="1" applyBorder="1"/>
    <xf numFmtId="0" fontId="11" fillId="0" borderId="0" xfId="0" applyFont="1" applyBorder="1"/>
    <xf numFmtId="166" fontId="11" fillId="0" borderId="0" xfId="0" applyNumberFormat="1" applyFont="1" applyFill="1" applyBorder="1"/>
    <xf numFmtId="165" fontId="11" fillId="0" borderId="0" xfId="0" applyNumberFormat="1" applyFont="1" applyFill="1" applyBorder="1"/>
    <xf numFmtId="0" fontId="11" fillId="2" borderId="0" xfId="0" applyFont="1" applyFill="1" applyBorder="1"/>
    <xf numFmtId="0" fontId="11" fillId="0" borderId="6" xfId="0" applyFont="1" applyFill="1" applyBorder="1"/>
    <xf numFmtId="0" fontId="11" fillId="0" borderId="1" xfId="0" applyFont="1" applyFill="1" applyBorder="1"/>
    <xf numFmtId="0" fontId="11" fillId="0" borderId="7" xfId="0" applyFont="1" applyFill="1" applyBorder="1"/>
    <xf numFmtId="0" fontId="11" fillId="0" borderId="8" xfId="0" applyFont="1" applyFill="1" applyBorder="1"/>
    <xf numFmtId="0" fontId="11" fillId="2" borderId="2" xfId="0" applyFont="1" applyFill="1" applyBorder="1"/>
    <xf numFmtId="0" fontId="11" fillId="0" borderId="6" xfId="0" applyFont="1" applyBorder="1"/>
    <xf numFmtId="0" fontId="11" fillId="0" borderId="1" xfId="0" applyFont="1" applyBorder="1"/>
    <xf numFmtId="0" fontId="11" fillId="0" borderId="11" xfId="0" applyFont="1" applyFill="1" applyBorder="1"/>
    <xf numFmtId="0" fontId="11" fillId="0" borderId="10" xfId="0" applyFont="1" applyBorder="1"/>
    <xf numFmtId="0" fontId="11" fillId="2" borderId="9" xfId="0" applyFont="1" applyFill="1" applyBorder="1"/>
    <xf numFmtId="166" fontId="14" fillId="0" borderId="0" xfId="0" applyNumberFormat="1" applyFont="1" applyFill="1" applyBorder="1"/>
    <xf numFmtId="167" fontId="14" fillId="0" borderId="0" xfId="0" applyNumberFormat="1" applyFont="1" applyFill="1" applyBorder="1"/>
    <xf numFmtId="2" fontId="14" fillId="0" borderId="0" xfId="0" applyNumberFormat="1" applyFont="1" applyFill="1" applyBorder="1"/>
    <xf numFmtId="0" fontId="11" fillId="0" borderId="12" xfId="0" applyFont="1" applyFill="1" applyBorder="1"/>
    <xf numFmtId="0" fontId="11" fillId="2" borderId="13" xfId="0" applyFont="1" applyFill="1" applyBorder="1"/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F-D845-BD87-E148483E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A1-E04B-8F51-E39CF46E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A-9D45-BF36-F6C7C666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4-9743-B28A-723A56EF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F2-414A-8AA4-0EE9E425016F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F2-414A-8AA4-0EE9E4250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0-8B42-9DA8-2C926D6ADB8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0-8B42-9DA8-2C926D6A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0"/>
  <sheetViews>
    <sheetView tabSelected="1" workbookViewId="0">
      <selection activeCell="E2" sqref="E2"/>
    </sheetView>
  </sheetViews>
  <sheetFormatPr defaultColWidth="8.7109375" defaultRowHeight="18.75"/>
  <cols>
    <col min="1" max="4" width="10.7109375" style="10" customWidth="1"/>
    <col min="5" max="5" width="10.42578125" style="10" customWidth="1"/>
    <col min="6" max="6" width="8.42578125" style="10" customWidth="1"/>
    <col min="7" max="7" width="10" style="10" customWidth="1"/>
    <col min="8" max="8" width="9.28515625" style="10" customWidth="1"/>
    <col min="9" max="9" width="9.7109375" style="10" customWidth="1"/>
    <col min="10" max="10" width="12" style="10" customWidth="1"/>
    <col min="11" max="11" width="9.140625" style="10" bestFit="1" customWidth="1"/>
    <col min="12" max="12" width="12.85546875" style="10" customWidth="1"/>
    <col min="13" max="13" width="9.140625" style="10" bestFit="1" customWidth="1"/>
    <col min="14" max="14" width="12.28515625" style="10" bestFit="1" customWidth="1"/>
    <col min="15" max="15" width="12.7109375" style="10" bestFit="1" customWidth="1"/>
    <col min="16" max="16" width="8.7109375" style="10"/>
    <col min="17" max="17" width="9.42578125" style="10" bestFit="1" customWidth="1"/>
    <col min="18" max="18" width="16.28515625" style="10" customWidth="1"/>
    <col min="19" max="19" width="16" style="10" customWidth="1"/>
    <col min="20" max="16384" width="8.7109375" style="10"/>
  </cols>
  <sheetData>
    <row r="1" spans="1:20" ht="19.5" thickBot="1">
      <c r="D1" s="10" t="s">
        <v>134</v>
      </c>
      <c r="H1" s="10" t="s">
        <v>133</v>
      </c>
      <c r="L1" s="11" t="s">
        <v>4</v>
      </c>
      <c r="R1" s="10" t="s">
        <v>135</v>
      </c>
      <c r="S1" s="11"/>
    </row>
    <row r="2" spans="1:20" ht="21">
      <c r="A2" s="12" t="s">
        <v>125</v>
      </c>
      <c r="D2" s="25" t="s">
        <v>128</v>
      </c>
      <c r="E2" s="26" t="s">
        <v>136</v>
      </c>
      <c r="F2" s="22" t="s">
        <v>123</v>
      </c>
      <c r="H2" s="14" t="s">
        <v>122</v>
      </c>
      <c r="I2" s="14" t="s">
        <v>130</v>
      </c>
      <c r="J2" s="10" t="s">
        <v>131</v>
      </c>
      <c r="K2" s="10" t="s">
        <v>121</v>
      </c>
      <c r="L2" s="11">
        <f>IF(COUNT(J:J)=COUNT(K:K),COUNT(J:J), "Your numbers do not match!")</f>
        <v>8</v>
      </c>
      <c r="M2" s="15"/>
      <c r="N2" s="25" t="s">
        <v>132</v>
      </c>
      <c r="O2" s="26" t="s">
        <v>138</v>
      </c>
      <c r="P2" s="22" t="s">
        <v>123</v>
      </c>
      <c r="R2" s="20" t="s">
        <v>145</v>
      </c>
      <c r="S2" s="21" t="s">
        <v>140</v>
      </c>
      <c r="T2" s="22" t="s">
        <v>123</v>
      </c>
    </row>
    <row r="3" spans="1:20" ht="19.5" thickBot="1">
      <c r="A3" s="13">
        <v>0.1037</v>
      </c>
      <c r="D3" s="23">
        <v>5.0500000000000003E-2</v>
      </c>
      <c r="E3" s="24">
        <f>0.0505</f>
        <v>5.0500000000000003E-2</v>
      </c>
      <c r="F3" s="29">
        <f>ABS(D3-E3)/E3*100</f>
        <v>0</v>
      </c>
      <c r="H3" s="14">
        <v>8</v>
      </c>
      <c r="I3" s="19">
        <f>$A$10/H3</f>
        <v>1</v>
      </c>
      <c r="J3" s="19">
        <f>LN(I3)</f>
        <v>0</v>
      </c>
      <c r="K3" s="15">
        <v>0</v>
      </c>
      <c r="L3" s="11" t="s">
        <v>6</v>
      </c>
      <c r="M3" s="15"/>
      <c r="N3" s="23">
        <v>0.1037</v>
      </c>
      <c r="O3" s="19">
        <f>L5/A8</f>
        <v>0.10972752728026529</v>
      </c>
      <c r="P3" s="29">
        <f>ABS(N3-O3)/O3*100</f>
        <v>5.4931769900089158</v>
      </c>
      <c r="R3" s="23">
        <v>2.58</v>
      </c>
      <c r="S3" s="24">
        <f>$A$8*O3*LN(2)</f>
        <v>2.6589641226979976</v>
      </c>
      <c r="T3" s="29">
        <f>ABS(R3-S3)/S3*100</f>
        <v>2.9697325369653451</v>
      </c>
    </row>
    <row r="4" spans="1:20" ht="21">
      <c r="A4" s="12" t="s">
        <v>126</v>
      </c>
      <c r="D4" s="28" t="s">
        <v>127</v>
      </c>
      <c r="E4" s="16" t="s">
        <v>137</v>
      </c>
      <c r="F4" s="27" t="s">
        <v>123</v>
      </c>
      <c r="H4" s="14">
        <v>7</v>
      </c>
      <c r="I4" s="19">
        <f t="shared" ref="I4:I10" si="0">$A$10/H4</f>
        <v>1.1428571428571428</v>
      </c>
      <c r="J4" s="19">
        <f t="shared" ref="J4:J10" si="1">LN(I4)</f>
        <v>0.13353139262452257</v>
      </c>
      <c r="K4" s="15">
        <v>0.6</v>
      </c>
      <c r="L4" s="11" t="s">
        <v>12</v>
      </c>
      <c r="M4" s="15"/>
      <c r="N4" s="22"/>
      <c r="O4" s="33" t="s">
        <v>139</v>
      </c>
      <c r="R4" s="20" t="s">
        <v>144</v>
      </c>
      <c r="S4" s="21" t="s">
        <v>141</v>
      </c>
      <c r="T4" s="22" t="s">
        <v>123</v>
      </c>
    </row>
    <row r="5" spans="1:20" ht="19.5" thickBot="1">
      <c r="A5" s="13">
        <v>9.8500000000000004E-2</v>
      </c>
      <c r="D5" s="23">
        <v>0.20100000000000001</v>
      </c>
      <c r="E5" s="24">
        <f>A3+A5</f>
        <v>0.20219999999999999</v>
      </c>
      <c r="F5" s="29">
        <f>ABS(D5-E5)/E5*100</f>
        <v>0.5934718100890104</v>
      </c>
      <c r="H5" s="14">
        <v>6</v>
      </c>
      <c r="I5" s="19">
        <f t="shared" si="0"/>
        <v>1.3333333333333333</v>
      </c>
      <c r="J5" s="19">
        <f t="shared" si="1"/>
        <v>0.28768207245178085</v>
      </c>
      <c r="K5" s="15">
        <v>1.1499999999999999</v>
      </c>
      <c r="L5" s="11">
        <f>SLOPE(K:K,J:J)</f>
        <v>3.8360743537180744</v>
      </c>
      <c r="M5" s="15"/>
      <c r="N5" s="27"/>
      <c r="O5" s="34">
        <f>L16/A8</f>
        <v>1.6120001403082519E-3</v>
      </c>
      <c r="R5" s="23">
        <v>1.25</v>
      </c>
      <c r="S5" s="24">
        <f>$A$8*E3*LN(2)</f>
        <v>1.2237374843349724</v>
      </c>
      <c r="T5" s="29">
        <f>ABS(R5-S5)/S5*100</f>
        <v>2.1460906445388219</v>
      </c>
    </row>
    <row r="6" spans="1:20" ht="21">
      <c r="F6" s="13"/>
      <c r="H6" s="14">
        <v>5</v>
      </c>
      <c r="I6" s="19">
        <f t="shared" si="0"/>
        <v>1.6</v>
      </c>
      <c r="J6" s="19">
        <f t="shared" si="1"/>
        <v>0.47000362924573563</v>
      </c>
      <c r="K6" s="15">
        <v>1.75</v>
      </c>
      <c r="L6" s="11" t="s">
        <v>7</v>
      </c>
      <c r="M6" s="15"/>
      <c r="R6" s="20" t="s">
        <v>143</v>
      </c>
      <c r="S6" s="21" t="s">
        <v>142</v>
      </c>
      <c r="T6" s="22" t="s">
        <v>123</v>
      </c>
    </row>
    <row r="7" spans="1:20" ht="21.75" thickBot="1">
      <c r="A7" s="12" t="s">
        <v>124</v>
      </c>
      <c r="H7" s="14">
        <v>4</v>
      </c>
      <c r="I7" s="19">
        <f t="shared" si="0"/>
        <v>2</v>
      </c>
      <c r="J7" s="19">
        <f t="shared" si="1"/>
        <v>0.69314718055994529</v>
      </c>
      <c r="K7" s="15">
        <v>2.58</v>
      </c>
      <c r="L7" s="11" t="s">
        <v>12</v>
      </c>
      <c r="M7" s="15"/>
      <c r="R7" s="23">
        <v>4.9000000000000004</v>
      </c>
      <c r="S7" s="24">
        <f>$A$8*E5*LN(2)</f>
        <v>4.8997964224263644</v>
      </c>
      <c r="T7" s="29">
        <f>ABS(R7-S7)/S7*100</f>
        <v>4.1548169777872405E-3</v>
      </c>
    </row>
    <row r="8" spans="1:20">
      <c r="A8" s="13">
        <v>34.96</v>
      </c>
      <c r="H8" s="14">
        <v>3</v>
      </c>
      <c r="I8" s="19">
        <f t="shared" si="0"/>
        <v>2.6666666666666665</v>
      </c>
      <c r="J8" s="19">
        <f t="shared" si="1"/>
        <v>0.98082925301172619</v>
      </c>
      <c r="K8" s="15">
        <v>3.62</v>
      </c>
      <c r="L8" s="11">
        <f>INTERCEPT(K:K,J:J)</f>
        <v>-1.6886714770830036E-2</v>
      </c>
      <c r="M8" s="15"/>
    </row>
    <row r="9" spans="1:20" ht="21">
      <c r="A9" s="10" t="s">
        <v>129</v>
      </c>
      <c r="H9" s="14">
        <v>2</v>
      </c>
      <c r="I9" s="19">
        <f t="shared" si="0"/>
        <v>4</v>
      </c>
      <c r="J9" s="19">
        <f t="shared" si="1"/>
        <v>1.3862943611198906</v>
      </c>
      <c r="K9" s="15">
        <v>5.2</v>
      </c>
      <c r="L9" s="9" t="s">
        <v>8</v>
      </c>
      <c r="M9" s="15"/>
      <c r="O9" s="11"/>
    </row>
    <row r="10" spans="1:20">
      <c r="A10" s="14">
        <v>8</v>
      </c>
      <c r="H10" s="14">
        <v>1</v>
      </c>
      <c r="I10" s="19">
        <f t="shared" si="0"/>
        <v>8</v>
      </c>
      <c r="J10" s="19">
        <f t="shared" si="1"/>
        <v>2.0794415416798357</v>
      </c>
      <c r="K10" s="15">
        <v>8.1</v>
      </c>
      <c r="L10" s="9">
        <f>RSQ(K:K,J:J)</f>
        <v>0.99870673300627377</v>
      </c>
      <c r="M10" s="15"/>
    </row>
    <row r="11" spans="1:20" ht="19.5">
      <c r="J11" s="14"/>
      <c r="L11" s="9" t="s">
        <v>16</v>
      </c>
      <c r="M11" s="15"/>
      <c r="O11" s="11"/>
    </row>
    <row r="12" spans="1:20">
      <c r="L12" s="9" t="s">
        <v>12</v>
      </c>
      <c r="O12" s="11"/>
    </row>
    <row r="13" spans="1:20">
      <c r="B13" s="18"/>
      <c r="C13" s="14"/>
      <c r="D13" s="14"/>
      <c r="E13" s="18"/>
      <c r="F13" s="18"/>
      <c r="L13" s="11">
        <f>STEYX(K:K,J:J)</f>
        <v>0.10487806356546313</v>
      </c>
    </row>
    <row r="14" spans="1:20" ht="19.5">
      <c r="B14" s="18"/>
      <c r="C14" s="14" t="s">
        <v>146</v>
      </c>
      <c r="D14" s="14"/>
      <c r="E14" s="18"/>
      <c r="F14" s="18"/>
      <c r="G14" s="14"/>
      <c r="I14" s="11"/>
      <c r="L14" s="9" t="s">
        <v>9</v>
      </c>
    </row>
    <row r="15" spans="1:20">
      <c r="B15" s="18"/>
      <c r="C15" s="14"/>
      <c r="D15" s="30"/>
      <c r="E15" s="30"/>
      <c r="F15" s="18"/>
      <c r="G15" s="31"/>
      <c r="I15" s="11"/>
      <c r="L15" s="9" t="s">
        <v>12</v>
      </c>
    </row>
    <row r="16" spans="1:20">
      <c r="B16" s="18"/>
      <c r="C16" s="14"/>
      <c r="D16" s="32"/>
      <c r="E16" s="32"/>
      <c r="F16" s="18"/>
      <c r="G16" s="32"/>
      <c r="L16" s="11">
        <f>STEYX(K:K,J:J)*SQRT(COUNT(J:J)/(COUNT(J:J)*SUMSQ(J:J)-SUM(J:J)^2))</f>
        <v>5.6355524905176486E-2</v>
      </c>
    </row>
    <row r="17" spans="2:12" ht="19.5">
      <c r="B17" s="18"/>
      <c r="D17" s="14"/>
      <c r="E17" s="18"/>
      <c r="F17" s="18"/>
      <c r="I17" s="11"/>
      <c r="L17" s="9" t="s">
        <v>10</v>
      </c>
    </row>
    <row r="18" spans="2:12">
      <c r="B18" s="18"/>
      <c r="I18" s="11"/>
      <c r="L18" s="9" t="s">
        <v>12</v>
      </c>
    </row>
    <row r="19" spans="2:12">
      <c r="B19" s="18"/>
      <c r="D19" s="17"/>
      <c r="F19" s="17"/>
      <c r="H19" s="17"/>
      <c r="L19" s="11">
        <f>STEYX(K:K,J:J)*SQRT(SUMSQ(J:J)/(COUNT(J:J)*SUMSQ(J:J)-SUM(J:J)^2))</f>
        <v>5.6390254699425671E-2</v>
      </c>
    </row>
    <row r="20" spans="2:12">
      <c r="D20" s="15"/>
      <c r="E20" s="15"/>
      <c r="F20" s="17"/>
      <c r="G20" s="15"/>
      <c r="H20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B7" sqref="B7"/>
    </sheetView>
  </sheetViews>
  <sheetFormatPr defaultColWidth="8.710937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8.710937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ColWidth="8.7109375" defaultRowHeight="15"/>
  <cols>
    <col min="1" max="1" width="9.140625" customWidth="1"/>
    <col min="4" max="4" width="9.7109375" customWidth="1"/>
    <col min="17" max="17" width="7.140625" customWidth="1"/>
    <col min="18" max="18" width="6.7109375" customWidth="1"/>
  </cols>
  <sheetData>
    <row r="1" spans="1:22" ht="19.5" thickBot="1">
      <c r="A1" s="39" t="s">
        <v>2</v>
      </c>
      <c r="B1" s="41"/>
      <c r="C1" s="1" t="s">
        <v>48</v>
      </c>
      <c r="D1" s="1" t="s">
        <v>4</v>
      </c>
      <c r="E1" s="39" t="s">
        <v>5</v>
      </c>
      <c r="F1" s="41"/>
      <c r="G1" s="1" t="s">
        <v>48</v>
      </c>
      <c r="H1" s="1" t="s">
        <v>18</v>
      </c>
      <c r="I1" s="1" t="s">
        <v>4</v>
      </c>
      <c r="K1" s="36" t="s">
        <v>92</v>
      </c>
      <c r="L1" s="37"/>
      <c r="M1" s="38"/>
      <c r="P1" s="43" t="s">
        <v>64</v>
      </c>
      <c r="Q1" s="44"/>
      <c r="R1" s="44"/>
      <c r="S1" s="45"/>
    </row>
    <row r="2" spans="1:22" ht="15.75" thickBot="1">
      <c r="A2" s="43" t="s">
        <v>65</v>
      </c>
      <c r="B2" s="45"/>
      <c r="C2" s="1" t="s">
        <v>12</v>
      </c>
      <c r="D2">
        <f>COUNT(C:C)</f>
        <v>8</v>
      </c>
      <c r="E2" s="43" t="s">
        <v>68</v>
      </c>
      <c r="F2" s="45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39" t="s">
        <v>91</v>
      </c>
      <c r="Q2" s="40"/>
      <c r="R2" s="40"/>
      <c r="S2" s="41"/>
    </row>
    <row r="3" spans="1:22" ht="15.75" thickBot="1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36" t="s">
        <v>119</v>
      </c>
      <c r="L3" s="37"/>
      <c r="M3" s="38"/>
      <c r="P3" s="5" t="s">
        <v>19</v>
      </c>
      <c r="Q3" s="4" t="s">
        <v>19</v>
      </c>
      <c r="R3" s="5" t="s">
        <v>20</v>
      </c>
      <c r="S3" s="4" t="s">
        <v>20</v>
      </c>
      <c r="T3" s="36" t="s">
        <v>94</v>
      </c>
      <c r="U3" s="37"/>
      <c r="V3" s="38"/>
    </row>
    <row r="4" spans="1:22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36" t="s">
        <v>108</v>
      </c>
      <c r="L6" s="37"/>
      <c r="M6" s="38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36" t="s">
        <v>113</v>
      </c>
      <c r="L9" s="37"/>
      <c r="M9" s="38"/>
      <c r="P9" s="5" t="s">
        <v>29</v>
      </c>
      <c r="Q9" s="4" t="s">
        <v>29</v>
      </c>
      <c r="R9" s="5" t="s">
        <v>30</v>
      </c>
      <c r="S9" s="4" t="s">
        <v>30</v>
      </c>
    </row>
    <row r="10" spans="1:22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>
      <c r="C13" s="42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>
      <c r="C14" s="42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>
      <c r="C15" s="42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>
      <c r="C16" s="42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>
      <c r="A19" s="35" t="s">
        <v>118</v>
      </c>
      <c r="B19" s="35"/>
      <c r="C19" s="35"/>
      <c r="D19" s="35"/>
      <c r="G19" s="42" t="s">
        <v>112</v>
      </c>
      <c r="H19" s="42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>
      <c r="A20" s="35"/>
      <c r="B20" s="35"/>
      <c r="C20" s="35"/>
      <c r="D20" s="35"/>
      <c r="G20" s="42"/>
      <c r="H20" s="42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>
      <c r="A21" s="35"/>
      <c r="B21" s="35"/>
      <c r="C21" s="35"/>
      <c r="D21" s="35"/>
      <c r="I21" s="36" t="s">
        <v>69</v>
      </c>
      <c r="J21" s="37"/>
      <c r="K21" s="38"/>
      <c r="P21" s="5" t="s">
        <v>44</v>
      </c>
      <c r="Q21" s="4" t="s">
        <v>44</v>
      </c>
      <c r="R21" s="5" t="s">
        <v>57</v>
      </c>
      <c r="S21" s="4" t="s">
        <v>57</v>
      </c>
    </row>
    <row r="22" spans="1:19">
      <c r="A22" s="35"/>
      <c r="B22" s="35"/>
      <c r="C22" s="35"/>
      <c r="D22" s="35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>
      <c r="A23" s="35"/>
      <c r="B23" s="35"/>
      <c r="C23" s="35"/>
      <c r="D23" s="35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>
      <c r="P27" s="5" t="s">
        <v>18</v>
      </c>
      <c r="Q27" s="4" t="s">
        <v>18</v>
      </c>
      <c r="R27" s="5" t="s">
        <v>62</v>
      </c>
      <c r="S27" s="4" t="s">
        <v>62</v>
      </c>
    </row>
    <row r="28" spans="1:19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>
      <c r="A29" t="s">
        <v>105</v>
      </c>
    </row>
    <row r="35" spans="9:9">
      <c r="I35" t="s">
        <v>74</v>
      </c>
    </row>
    <row r="36" spans="9:9" ht="17.25">
      <c r="I36" t="s">
        <v>75</v>
      </c>
    </row>
    <row r="46" spans="9:9">
      <c r="I46" t="s">
        <v>76</v>
      </c>
    </row>
    <row r="47" spans="9:9">
      <c r="I47" t="s">
        <v>77</v>
      </c>
    </row>
    <row r="48" spans="9:9">
      <c r="I48" t="s">
        <v>78</v>
      </c>
    </row>
    <row r="49" spans="9:9">
      <c r="I49" t="s">
        <v>79</v>
      </c>
    </row>
    <row r="59" spans="9:9">
      <c r="I59" t="s">
        <v>80</v>
      </c>
    </row>
    <row r="60" spans="9:9">
      <c r="I60" t="s">
        <v>81</v>
      </c>
    </row>
    <row r="61" spans="9:9">
      <c r="I61" t="s">
        <v>82</v>
      </c>
    </row>
    <row r="71" spans="9:16">
      <c r="I71" t="s">
        <v>83</v>
      </c>
      <c r="M71" s="1" t="s">
        <v>48</v>
      </c>
      <c r="N71" s="1" t="s">
        <v>45</v>
      </c>
    </row>
    <row r="72" spans="9:16">
      <c r="I72" t="s">
        <v>87</v>
      </c>
      <c r="M72" s="1" t="s">
        <v>12</v>
      </c>
      <c r="N72" s="1" t="s">
        <v>67</v>
      </c>
    </row>
    <row r="73" spans="9:16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>
      <c r="I74" t="s">
        <v>84</v>
      </c>
      <c r="M74">
        <v>-1</v>
      </c>
      <c r="N74">
        <v>0.84031349029360847</v>
      </c>
    </row>
    <row r="75" spans="9:16">
      <c r="I75" t="s">
        <v>85</v>
      </c>
      <c r="M75">
        <v>0</v>
      </c>
      <c r="N75">
        <v>0.24456025181718824</v>
      </c>
    </row>
    <row r="76" spans="9:16">
      <c r="M76">
        <v>1</v>
      </c>
      <c r="N76">
        <v>-1.6291120609012069</v>
      </c>
    </row>
    <row r="77" spans="9:16">
      <c r="M77">
        <v>2</v>
      </c>
      <c r="N77">
        <v>-1.9941606398553142</v>
      </c>
    </row>
    <row r="91" spans="9:9">
      <c r="I91" t="s">
        <v>88</v>
      </c>
    </row>
    <row r="92" spans="9:9">
      <c r="I92" t="s">
        <v>89</v>
      </c>
    </row>
    <row r="93" spans="9:9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Benjamin Giftakis</cp:lastModifiedBy>
  <dcterms:created xsi:type="dcterms:W3CDTF">2006-09-16T00:00:00Z</dcterms:created>
  <dcterms:modified xsi:type="dcterms:W3CDTF">2020-08-18T05:29:18Z</dcterms:modified>
</cp:coreProperties>
</file>