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cafb4ad420cef1/College Work/phys2lab/lab 6 - Voltage Divider/"/>
    </mc:Choice>
  </mc:AlternateContent>
  <xr:revisionPtr revIDLastSave="1091" documentId="13_ncr:1_{3A4E0D92-25D6-4544-8F57-4709C625F1E0}" xr6:coauthVersionLast="45" xr6:coauthVersionMax="45" xr10:uidLastSave="{93ADDD22-FE68-43F6-99CE-9ACA3C412798}"/>
  <bookViews>
    <workbookView xWindow="-36840" yWindow="135" windowWidth="22620" windowHeight="21465" xr2:uid="{00000000-000D-0000-FFFF-FFFF00000000}"/>
  </bookViews>
  <sheets>
    <sheet name="Part 1" sheetId="9" r:id="rId1"/>
    <sheet name="Part 2" sheetId="10" r:id="rId2"/>
    <sheet name="Sheet3" sheetId="11" r:id="rId3"/>
    <sheet name="Help Sheet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9" l="1"/>
  <c r="D2" i="9" l="1"/>
  <c r="L10" i="10"/>
  <c r="L7" i="10"/>
  <c r="L3" i="10"/>
  <c r="G2" i="9"/>
  <c r="H7" i="10"/>
  <c r="G11" i="10"/>
  <c r="E4" i="10"/>
  <c r="A17" i="10"/>
  <c r="E5" i="10"/>
  <c r="F5" i="9"/>
  <c r="F5" i="10"/>
  <c r="H3" i="10"/>
  <c r="F16" i="10"/>
  <c r="E3" i="10"/>
  <c r="A11" i="10"/>
  <c r="I3" i="10"/>
  <c r="K2" i="10"/>
  <c r="I7" i="10"/>
  <c r="E9" i="10"/>
  <c r="C5" i="10"/>
  <c r="F8" i="10"/>
  <c r="G7" i="10"/>
  <c r="E6" i="10"/>
  <c r="E7" i="10"/>
  <c r="E8" i="10"/>
  <c r="E10" i="10"/>
  <c r="E11" i="10"/>
  <c r="E12" i="10"/>
  <c r="C4" i="10"/>
  <c r="C6" i="10"/>
  <c r="C7" i="10"/>
  <c r="C8" i="10"/>
  <c r="C9" i="10"/>
  <c r="C10" i="10"/>
  <c r="C11" i="10"/>
  <c r="C12" i="10"/>
  <c r="C3" i="10"/>
  <c r="F2" i="9"/>
  <c r="C5" i="9"/>
  <c r="C6" i="9"/>
  <c r="C7" i="9"/>
  <c r="C8" i="9"/>
  <c r="C9" i="9"/>
  <c r="C10" i="9"/>
  <c r="C11" i="9"/>
  <c r="C4" i="9"/>
  <c r="D4" i="9"/>
  <c r="D5" i="9"/>
  <c r="D6" i="9"/>
  <c r="D7" i="9"/>
  <c r="D8" i="9"/>
  <c r="D9" i="9"/>
  <c r="D10" i="9"/>
  <c r="D11" i="9"/>
  <c r="E19" i="9"/>
  <c r="E16" i="9"/>
  <c r="E13" i="9"/>
  <c r="E10" i="9"/>
  <c r="E8" i="9"/>
  <c r="E5" i="9"/>
  <c r="E2" i="9"/>
  <c r="F19" i="10"/>
  <c r="F13" i="10"/>
  <c r="F10" i="10"/>
  <c r="F2" i="10"/>
  <c r="L5" i="5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/>
  <c r="D8" i="5"/>
  <c r="I13" i="5"/>
  <c r="I10" i="5"/>
  <c r="I8" i="5"/>
  <c r="I5" i="5"/>
  <c r="I2" i="5"/>
  <c r="D2" i="5"/>
  <c r="I16" i="5"/>
  <c r="I19" i="5"/>
  <c r="D11" i="5"/>
</calcChain>
</file>

<file path=xl/sharedStrings.xml><?xml version="1.0" encoding="utf-8"?>
<sst xmlns="http://schemas.openxmlformats.org/spreadsheetml/2006/main" count="267" uniqueCount="151">
  <si>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</si>
  <si>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</si>
  <si>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</si>
  <si>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</si>
  <si>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</si>
  <si>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</si>
  <si>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</si>
  <si>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</si>
  <si>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</si>
  <si>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</si>
  <si>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</si>
  <si>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</si>
  <si>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</si>
  <si>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</si>
  <si>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</si>
  <si>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</si>
  <si>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</si>
  <si>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</si>
  <si>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</si>
  <si>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</si>
  <si>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</si>
  <si>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</si>
  <si>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</si>
  <si>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</si>
  <si>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</si>
  <si>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</si>
  <si>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</si>
  <si>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</si>
  <si>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</si>
  <si>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</si>
  <si>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</si>
  <si>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</si>
  <si>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</si>
  <si>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</si>
  <si>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</si>
  <si>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</si>
  <si>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</si>
  <si>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</si>
  <si>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</si>
  <si>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</si>
  <si>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</si>
  <si>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</si>
  <si>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</si>
  <si>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</si>
  <si>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</si>
  <si>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</si>
  <si>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</si>
  <si>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</si>
  <si>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</si>
  <si>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</si>
  <si>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</si>
  <si>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</si>
  <si>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</si>
  <si>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</si>
  <si>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</si>
  <si>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</si>
  <si>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</si>
  <si>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</si>
  <si>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</si>
  <si>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</si>
  <si>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</si>
  <si>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</si>
  <si>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</si>
  <si>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</si>
  <si>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</si>
  <si>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</si>
  <si>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</si>
  <si>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</si>
  <si>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</si>
  <si>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</si>
  <si>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</si>
  <si>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</si>
  <si>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</si>
  <si>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</si>
  <si>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</si>
  <si>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</si>
  <si>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</si>
  <si>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</si>
  <si>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</si>
  <si>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</si>
  <si>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</si>
  <si>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</si>
  <si>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</si>
  <si>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</si>
  <si>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</si>
  <si>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</si>
  <si>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</si>
  <si>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</si>
  <si>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</si>
  <si>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</si>
  <si>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</si>
  <si>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</si>
  <si>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</si>
  <si>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</si>
  <si>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</si>
  <si>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</si>
  <si>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</si>
  <si>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</si>
  <si>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</si>
  <si>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</si>
  <si>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</si>
  <si>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</si>
  <si>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</si>
  <si>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</si>
  <si>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</si>
  <si>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</si>
  <si>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</si>
  <si>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</si>
  <si>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</si>
  <si>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</si>
  <si>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</si>
  <si>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</si>
  <si>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</si>
  <si>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</si>
  <si>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</si>
  <si>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</si>
  <si>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</si>
  <si>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</si>
  <si>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</si>
  <si>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</si>
  <si>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</si>
  <si>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in</t>
    </r>
  </si>
  <si>
    <t>(V)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</si>
  <si>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wire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</si>
  <si>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</si>
  <si>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(mV)</t>
  </si>
  <si>
    <t>(m)</t>
  </si>
  <si>
    <r>
      <t>(</t>
    </r>
    <r>
      <rPr>
        <sz val="11"/>
        <color theme="1"/>
        <rFont val="Calibri"/>
        <family val="2"/>
      </rPr>
      <t>Ω)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</si>
  <si>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</si>
  <si>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(mm)</t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</si>
  <si>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</si>
  <si>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ρ</t>
  </si>
  <si>
    <r>
      <t>(</t>
    </r>
    <r>
      <rPr>
        <sz val="11"/>
        <color theme="1"/>
        <rFont val="Calibri"/>
        <family val="2"/>
      </rPr>
      <t>Ω*m)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</si>
  <si>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2</t>
    </r>
  </si>
  <si>
    <r>
      <t>(V</t>
    </r>
    <r>
      <rPr>
        <sz val="11"/>
        <color theme="1"/>
        <rFont val="Calibri"/>
        <family val="2"/>
      </rPr>
      <t>)</t>
    </r>
  </si>
  <si>
    <r>
      <t>S</t>
    </r>
    <r>
      <rPr>
        <b/>
        <vertAlign val="subscript"/>
        <sz val="11"/>
        <color theme="1"/>
        <rFont val="Calibri"/>
        <family val="2"/>
      </rPr>
      <t>ρ</t>
    </r>
  </si>
  <si>
    <r>
      <rPr>
        <b/>
        <sz val="11"/>
        <color theme="1"/>
        <rFont val="Calibri"/>
        <family val="2"/>
      </rPr>
      <t>ρ</t>
    </r>
    <r>
      <rPr>
        <b/>
        <vertAlign val="subscript"/>
        <sz val="11"/>
        <color theme="1"/>
        <rFont val="Calibri"/>
        <family val="2"/>
      </rPr>
      <t>acc</t>
    </r>
  </si>
  <si>
    <r>
      <t>(</t>
    </r>
    <r>
      <rPr>
        <sz val="11"/>
        <color theme="1"/>
        <rFont val="Calibri"/>
        <family val="2"/>
      </rPr>
      <t>μΩ*m)</t>
    </r>
  </si>
  <si>
    <t>% diff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</si>
  <si>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3,wire,Ohm</t>
    </r>
  </si>
  <si>
    <r>
      <t>R</t>
    </r>
    <r>
      <rPr>
        <b/>
        <vertAlign val="subscript"/>
        <sz val="11"/>
        <color theme="1"/>
        <rFont val="Calibri"/>
        <family val="2"/>
        <scheme val="minor"/>
      </rPr>
      <t>3,wire,</t>
    </r>
    <r>
      <rPr>
        <b/>
        <vertAlign val="subscript"/>
        <sz val="11"/>
        <color theme="1"/>
        <rFont val="Calibri"/>
        <family val="2"/>
      </rPr>
      <t>ρ</t>
    </r>
  </si>
  <si>
    <t>% error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</si>
  <si>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2</t>
    </r>
  </si>
  <si>
    <t>Vin</t>
  </si>
  <si>
    <t>v2</t>
  </si>
  <si>
    <t>r1</t>
  </si>
  <si>
    <t>Vin/V2</t>
  </si>
  <si>
    <t>r2</t>
  </si>
  <si>
    <t>SR2</t>
  </si>
  <si>
    <t>R2 ACC</t>
  </si>
  <si>
    <t>%error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</si>
</sst>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vertAlign val="subscript"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0" fontId="0" fillId="0" borderId="10" xfId="0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0" xfId="0" applyFill="1" applyBorder="1"/>
    <xf numFmtId="2" fontId="0" fillId="0" borderId="11" xfId="0" applyNumberFormat="1" applyBorder="1"/>
    <xf numFmtId="2" fontId="0" fillId="0" borderId="12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0" fontId="0" fillId="0" borderId="11" xfId="0" applyFill="1" applyBorder="1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2" borderId="10" xfId="0" applyFill="1" applyBorder="1"/>
    <xf numFmtId="0" fontId="0" fillId="2" borderId="12" xfId="0" applyFill="1" applyBorder="1"/>
    <xf numFmtId="0" fontId="12" fillId="0" borderId="10" xfId="0" applyFont="1" applyBorder="1"/>
    <xf numFmtId="0" fontId="0" fillId="2" borderId="11" xfId="0" applyFill="1" applyBorder="1"/>
    <xf numFmtId="164" fontId="0" fillId="0" borderId="13" xfId="0" applyNumberFormat="1" applyBorder="1"/>
    <xf numFmtId="164" fontId="0" fillId="0" borderId="14" xfId="0" applyNumberFormat="1" applyBorder="1"/>
    <xf numFmtId="165" fontId="0" fillId="0" borderId="11" xfId="0" applyNumberFormat="1" applyBorder="1"/>
    <xf numFmtId="0" fontId="1" fillId="0" borderId="0" xfId="0" applyFont="1" applyBorder="1"/>
    <xf numFmtId="0" fontId="0" fillId="0" borderId="0" xfId="0" applyBorder="1"/>
    <xf numFmtId="0" fontId="0" fillId="0" borderId="0" xfId="0" applyFill="1" applyBorder="1"/>
    <xf numFmtId="166" fontId="0" fillId="2" borderId="10" xfId="0" applyNumberFormat="1" applyFill="1" applyBorder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4" borderId="0" xfId="0" applyFill="1" applyAlignment="1">
      <alignment horizontal="left" wrapText="1"/>
    </xf>
    <xf numFmtId="0" fontId="1" fillId="2" borderId="2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E-4F5A-903B-0D1F4CADE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0592"/>
        <c:axId val="292071152"/>
      </c:scatterChart>
      <c:valAx>
        <c:axId val="29207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1152"/>
        <c:crosses val="autoZero"/>
        <c:crossBetween val="midCat"/>
      </c:valAx>
      <c:valAx>
        <c:axId val="29207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D0-421C-BE86-96DAE915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5072"/>
        <c:axId val="292075632"/>
      </c:scatterChart>
      <c:valAx>
        <c:axId val="29207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632"/>
        <c:crosses val="autoZero"/>
        <c:crossBetween val="midCat"/>
      </c:valAx>
      <c:valAx>
        <c:axId val="292075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7B-4EAC-BF19-AEFD8E8C3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7872"/>
        <c:axId val="219870736"/>
      </c:scatterChart>
      <c:valAx>
        <c:axId val="29207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0736"/>
        <c:crosses val="autoZero"/>
        <c:crossBetween val="midCat"/>
      </c:valAx>
      <c:valAx>
        <c:axId val="219870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8-4C3E-AB12-199616E72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2976"/>
        <c:axId val="219873536"/>
      </c:scatterChart>
      <c:valAx>
        <c:axId val="219872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3536"/>
        <c:crosses val="autoZero"/>
        <c:crossBetween val="midCat"/>
      </c:valAx>
      <c:valAx>
        <c:axId val="219873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76-47C0-951E-F63939305D60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76-47C0-951E-F63939305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6336"/>
        <c:axId val="219876896"/>
      </c:scatterChart>
      <c:valAx>
        <c:axId val="21987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896"/>
        <c:crosses val="autoZero"/>
        <c:crossBetween val="midCat"/>
      </c:valAx>
      <c:valAx>
        <c:axId val="21987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E2-4293-8E28-DB70EA2A8734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E2-4293-8E28-DB70EA2A8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64848"/>
        <c:axId val="292265408"/>
      </c:scatterChart>
      <c:valAx>
        <c:axId val="29226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5408"/>
        <c:crosses val="autoZero"/>
        <c:crossBetween val="midCat"/>
      </c:valAx>
      <c:valAx>
        <c:axId val="292265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9"/>
  <sheetViews>
    <sheetView tabSelected="1" workbookViewId="0">
      <selection activeCell="J11" sqref="J11"/>
    </sheetView>
  </sheetViews>
  <sheetFormatPr defaultRowHeight="15" x14ac:dyDescent="0.25"/>
  <sheetData>
    <row r="1" spans="1:7" x14ac:dyDescent="0.25">
      <c r="A1" t="s">
        <v>143</v>
      </c>
      <c r="B1" t="s">
        <v>144</v>
      </c>
      <c r="C1" t="s">
        <v>145</v>
      </c>
      <c r="D1" t="s">
        <v>146</v>
      </c>
      <c r="E1" s="1" t="s">
        <v>4</v>
      </c>
      <c r="F1" t="s">
        <v>147</v>
      </c>
      <c r="G1" t="s">
        <v>148</v>
      </c>
    </row>
    <row r="2" spans="1:7" x14ac:dyDescent="0.25">
      <c r="A2">
        <v>12</v>
      </c>
      <c r="B2">
        <v>8.82</v>
      </c>
      <c r="C2">
        <v>9</v>
      </c>
      <c r="D2">
        <f>A2/B2</f>
        <v>1.3605442176870748</v>
      </c>
      <c r="E2">
        <f>IF(COUNT(C:C)=COUNT(D:D),COUNT(C:C), "Your numbers do not match!")</f>
        <v>10</v>
      </c>
      <c r="F2">
        <f>1/E5</f>
        <v>24.947340641257355</v>
      </c>
      <c r="G2">
        <f>ABS(F2)*SQRT((E16/E5)^2)</f>
        <v>6.7135765903995837E-2</v>
      </c>
    </row>
    <row r="3" spans="1:7" x14ac:dyDescent="0.25">
      <c r="A3">
        <v>12</v>
      </c>
      <c r="B3">
        <v>8.6999999999999993</v>
      </c>
      <c r="C3">
        <v>9.5</v>
      </c>
      <c r="D3">
        <f>A3/B3</f>
        <v>1.3793103448275863</v>
      </c>
      <c r="E3" s="1" t="s">
        <v>6</v>
      </c>
    </row>
    <row r="4" spans="1:7" x14ac:dyDescent="0.25">
      <c r="A4">
        <v>12</v>
      </c>
      <c r="B4">
        <v>8.57</v>
      </c>
      <c r="C4">
        <f>C3+0.5</f>
        <v>10</v>
      </c>
      <c r="D4">
        <f t="shared" ref="D3:D11" si="0">A4/B4</f>
        <v>1.4002333722287048</v>
      </c>
      <c r="E4" s="1" t="s">
        <v>12</v>
      </c>
      <c r="F4" t="s">
        <v>150</v>
      </c>
      <c r="G4" t="s">
        <v>149</v>
      </c>
    </row>
    <row r="5" spans="1:7" x14ac:dyDescent="0.25">
      <c r="A5">
        <v>12</v>
      </c>
      <c r="B5">
        <v>8.4499999999999993</v>
      </c>
      <c r="C5">
        <f t="shared" ref="C5:C11" si="1">C4+0.5</f>
        <v>10.5</v>
      </c>
      <c r="D5">
        <f t="shared" si="0"/>
        <v>1.4201183431952664</v>
      </c>
      <c r="E5">
        <f>SLOPE(D:D,C:C)</f>
        <v>4.0084432821116907E-2</v>
      </c>
      <c r="F5">
        <f>ABS(G2-F2)/F2</f>
        <v>0.99730890090172708</v>
      </c>
      <c r="G5">
        <v>25</v>
      </c>
    </row>
    <row r="6" spans="1:7" x14ac:dyDescent="0.25">
      <c r="A6">
        <v>12</v>
      </c>
      <c r="B6">
        <v>8.33</v>
      </c>
      <c r="C6">
        <f t="shared" si="1"/>
        <v>11</v>
      </c>
      <c r="D6">
        <f t="shared" si="0"/>
        <v>1.440576230492197</v>
      </c>
      <c r="E6" s="1" t="s">
        <v>7</v>
      </c>
    </row>
    <row r="7" spans="1:7" x14ac:dyDescent="0.25">
      <c r="A7">
        <v>12</v>
      </c>
      <c r="B7">
        <v>8.2200000000000006</v>
      </c>
      <c r="C7">
        <f t="shared" si="1"/>
        <v>11.5</v>
      </c>
      <c r="D7">
        <f t="shared" si="0"/>
        <v>1.4598540145985401</v>
      </c>
      <c r="E7" s="1" t="s">
        <v>12</v>
      </c>
    </row>
    <row r="8" spans="1:7" x14ac:dyDescent="0.25">
      <c r="A8">
        <v>12</v>
      </c>
      <c r="B8">
        <v>8.11</v>
      </c>
      <c r="C8">
        <f t="shared" si="1"/>
        <v>12</v>
      </c>
      <c r="D8">
        <f t="shared" si="0"/>
        <v>1.4796547472256474</v>
      </c>
      <c r="E8">
        <f>INTERCEPT(D:D,C:C)</f>
        <v>0.99921415824040294</v>
      </c>
    </row>
    <row r="9" spans="1:7" ht="17.25" x14ac:dyDescent="0.25">
      <c r="A9">
        <v>12</v>
      </c>
      <c r="B9">
        <v>8</v>
      </c>
      <c r="C9">
        <f t="shared" si="1"/>
        <v>12.5</v>
      </c>
      <c r="D9">
        <f t="shared" si="0"/>
        <v>1.5</v>
      </c>
      <c r="E9" s="1" t="s">
        <v>8</v>
      </c>
    </row>
    <row r="10" spans="1:7" x14ac:dyDescent="0.25">
      <c r="A10">
        <v>12</v>
      </c>
      <c r="B10">
        <v>7.89</v>
      </c>
      <c r="C10">
        <f t="shared" si="1"/>
        <v>13</v>
      </c>
      <c r="D10">
        <f t="shared" si="0"/>
        <v>1.5209125475285172</v>
      </c>
      <c r="E10">
        <f>RSQ(D:D,C:C)</f>
        <v>0.99994206724154511</v>
      </c>
    </row>
    <row r="11" spans="1:7" ht="18" x14ac:dyDescent="0.35">
      <c r="A11">
        <v>12</v>
      </c>
      <c r="B11">
        <v>7.79</v>
      </c>
      <c r="C11">
        <f t="shared" si="1"/>
        <v>13.5</v>
      </c>
      <c r="D11">
        <f t="shared" si="0"/>
        <v>1.5404364569961488</v>
      </c>
      <c r="E11" s="1" t="s">
        <v>16</v>
      </c>
    </row>
    <row r="12" spans="1:7" x14ac:dyDescent="0.25">
      <c r="E12" s="1" t="s">
        <v>12</v>
      </c>
    </row>
    <row r="13" spans="1:7" x14ac:dyDescent="0.25">
      <c r="E13">
        <f>STEYX(D:D,C:C)</f>
        <v>4.8989432911677056E-4</v>
      </c>
    </row>
    <row r="14" spans="1:7" ht="18" x14ac:dyDescent="0.35">
      <c r="E14" s="1" t="s">
        <v>9</v>
      </c>
    </row>
    <row r="15" spans="1:7" x14ac:dyDescent="0.25">
      <c r="E15" s="1" t="s">
        <v>12</v>
      </c>
    </row>
    <row r="16" spans="1:7" x14ac:dyDescent="0.25">
      <c r="E16">
        <f>STEYX(D:D,C:C)*SQRT(COUNT(C:C)/(COUNT(C:C)*SUMSQ(C:C)-SUM(C:C)^2))</f>
        <v>1.0787118101969043E-4</v>
      </c>
    </row>
    <row r="17" spans="5:5" ht="18" x14ac:dyDescent="0.35">
      <c r="E17" s="1" t="s">
        <v>10</v>
      </c>
    </row>
    <row r="18" spans="5:5" x14ac:dyDescent="0.25">
      <c r="E18" s="1" t="s">
        <v>12</v>
      </c>
    </row>
    <row r="19" spans="5:5" x14ac:dyDescent="0.25">
      <c r="E19">
        <f>STEYX(D:D,C:C)*SQRT(SUMSQ(C:C)/(COUNT(C:C)*SUMSQ(C:C)-SUM(C:C)^2))</f>
        <v>1.2233990177843513E-3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9"/>
  <sheetViews>
    <sheetView workbookViewId="0">
      <selection activeCell="C5" sqref="C5"/>
    </sheetView>
  </sheetViews>
  <sheetFormatPr defaultRowHeight="15" x14ac:dyDescent="0.25"/>
  <cols>
    <col min="7" max="7" width="12" bestFit="1" customWidth="1"/>
    <col min="8" max="8" width="13.85546875" customWidth="1"/>
  </cols>
  <sheetData>
    <row r="1" spans="1:12" ht="18" x14ac:dyDescent="0.35">
      <c r="A1" s="11" t="s">
        <v>121</v>
      </c>
      <c r="B1" s="10" t="s">
        <v>124</v>
      </c>
      <c r="C1" s="10" t="s">
        <v>124</v>
      </c>
      <c r="D1" s="10" t="s">
        <v>51</v>
      </c>
      <c r="E1" s="11" t="s">
        <v>128</v>
      </c>
      <c r="F1" s="21" t="s">
        <v>4</v>
      </c>
      <c r="G1" s="10" t="s">
        <v>26</v>
      </c>
      <c r="H1" s="25" t="s">
        <v>131</v>
      </c>
      <c r="I1" s="25" t="s">
        <v>131</v>
      </c>
      <c r="J1" s="25" t="s">
        <v>136</v>
      </c>
      <c r="K1" s="11" t="s">
        <v>138</v>
      </c>
      <c r="L1" s="10" t="s">
        <v>140</v>
      </c>
    </row>
    <row r="2" spans="1:12" x14ac:dyDescent="0.25">
      <c r="A2" s="12" t="s">
        <v>122</v>
      </c>
      <c r="B2" s="9" t="s">
        <v>125</v>
      </c>
      <c r="C2" s="9" t="s">
        <v>122</v>
      </c>
      <c r="D2" s="15" t="s">
        <v>126</v>
      </c>
      <c r="E2" s="20" t="s">
        <v>127</v>
      </c>
      <c r="F2" s="13">
        <f>IF(COUNT(D:D)=COUNT(E:E),COUNT(D:D), "Your numbers do not match!")</f>
        <v>10</v>
      </c>
      <c r="G2" s="15" t="s">
        <v>129</v>
      </c>
      <c r="H2" s="15" t="s">
        <v>132</v>
      </c>
      <c r="I2" s="15" t="s">
        <v>137</v>
      </c>
      <c r="J2" s="15" t="s">
        <v>137</v>
      </c>
      <c r="K2" s="26">
        <f>ABS(I3-J3)/J3*100</f>
        <v>2.264786034470363</v>
      </c>
      <c r="L2" s="15" t="s">
        <v>127</v>
      </c>
    </row>
    <row r="3" spans="1:12" x14ac:dyDescent="0.25">
      <c r="A3" s="16">
        <v>12</v>
      </c>
      <c r="B3" s="27">
        <v>42</v>
      </c>
      <c r="C3" s="24">
        <f>B3/1000</f>
        <v>4.2000000000000003E-2</v>
      </c>
      <c r="D3" s="17">
        <v>1</v>
      </c>
      <c r="E3" s="24">
        <f>C3/($A$3-C3) * $A$15</f>
        <v>3.4596086302057203</v>
      </c>
      <c r="F3" s="22" t="s">
        <v>6</v>
      </c>
      <c r="G3" s="9">
        <v>0.63</v>
      </c>
      <c r="H3" s="23">
        <f>F5*G11</f>
        <v>1.0555403108277202E-6</v>
      </c>
      <c r="I3" s="23">
        <f>H3*1000000</f>
        <v>1.0555403108277202</v>
      </c>
      <c r="J3" s="9">
        <v>1.08</v>
      </c>
      <c r="L3" s="23">
        <f>H3/G11*D3</f>
        <v>3.3861316825595833</v>
      </c>
    </row>
    <row r="4" spans="1:12" x14ac:dyDescent="0.25">
      <c r="B4" s="27">
        <v>38</v>
      </c>
      <c r="C4" s="24">
        <f t="shared" ref="C4:C12" si="0">B4/1000</f>
        <v>3.7999999999999999E-2</v>
      </c>
      <c r="D4" s="18">
        <v>0.9</v>
      </c>
      <c r="E4" s="24">
        <f>C4/($A$3-C4) * $A$15</f>
        <v>3.1290754054505934</v>
      </c>
      <c r="F4" s="22" t="s">
        <v>12</v>
      </c>
    </row>
    <row r="5" spans="1:12" ht="18" x14ac:dyDescent="0.35">
      <c r="A5" s="11" t="s">
        <v>123</v>
      </c>
      <c r="B5" s="27">
        <v>34</v>
      </c>
      <c r="C5" s="24">
        <f>B5/1000</f>
        <v>3.4000000000000002E-2</v>
      </c>
      <c r="D5" s="18">
        <v>0.8</v>
      </c>
      <c r="E5" s="24">
        <f>C5/($A$3-C5) * $A$15</f>
        <v>2.7987631622931644</v>
      </c>
      <c r="F5" s="13">
        <f>SLOPE(E:E,D:D)</f>
        <v>3.3861316825595829</v>
      </c>
      <c r="G5" s="10" t="s">
        <v>26</v>
      </c>
      <c r="H5" s="10" t="s">
        <v>135</v>
      </c>
      <c r="I5" s="10" t="s">
        <v>135</v>
      </c>
      <c r="L5" s="10" t="s">
        <v>139</v>
      </c>
    </row>
    <row r="6" spans="1:12" x14ac:dyDescent="0.25">
      <c r="A6" s="12" t="s">
        <v>122</v>
      </c>
      <c r="B6" s="27">
        <v>30</v>
      </c>
      <c r="C6" s="24">
        <f t="shared" si="0"/>
        <v>0.03</v>
      </c>
      <c r="D6" s="18">
        <v>0.7</v>
      </c>
      <c r="E6" s="24">
        <f t="shared" ref="E6:E12" si="1">C6/($A$3-C6) * $A$15</f>
        <v>2.4686716791979948</v>
      </c>
      <c r="F6" s="22" t="s">
        <v>7</v>
      </c>
      <c r="G6" s="9" t="s">
        <v>126</v>
      </c>
      <c r="H6" s="9" t="s">
        <v>132</v>
      </c>
      <c r="I6" s="9" t="s">
        <v>137</v>
      </c>
      <c r="L6" s="9" t="s">
        <v>127</v>
      </c>
    </row>
    <row r="7" spans="1:12" x14ac:dyDescent="0.25">
      <c r="A7" s="29">
        <v>4.2000000000000003E-2</v>
      </c>
      <c r="B7" s="27">
        <v>26</v>
      </c>
      <c r="C7" s="24">
        <f t="shared" si="0"/>
        <v>2.5999999999999999E-2</v>
      </c>
      <c r="D7" s="18">
        <v>0.6</v>
      </c>
      <c r="E7" s="24">
        <f t="shared" si="1"/>
        <v>2.1388007349256721</v>
      </c>
      <c r="F7" s="22" t="s">
        <v>12</v>
      </c>
      <c r="G7" s="23">
        <f>G3/1000</f>
        <v>6.3000000000000003E-4</v>
      </c>
      <c r="H7" s="23">
        <f>ABS(H3)*SQRT((F16/F5)^2)</f>
        <v>1.5933020751036097E-8</v>
      </c>
      <c r="I7" s="23">
        <f>H7*1000000</f>
        <v>1.5933020751036097E-2</v>
      </c>
      <c r="L7" s="23">
        <f>A7/(A11/A15)</f>
        <v>3.4596086302057203</v>
      </c>
    </row>
    <row r="8" spans="1:12" x14ac:dyDescent="0.25">
      <c r="B8" s="27">
        <v>22</v>
      </c>
      <c r="C8" s="24">
        <f t="shared" si="0"/>
        <v>2.1999999999999999E-2</v>
      </c>
      <c r="D8" s="18">
        <v>0.5</v>
      </c>
      <c r="E8" s="24">
        <f t="shared" si="1"/>
        <v>1.8091501085323092</v>
      </c>
      <c r="F8" s="13">
        <f>INTERCEPT(E:E,D:D)</f>
        <v>9.6053471885949149E-2</v>
      </c>
    </row>
    <row r="9" spans="1:12" ht="18.75" x14ac:dyDescent="0.35">
      <c r="A9" s="10" t="s">
        <v>133</v>
      </c>
      <c r="B9" s="27">
        <v>18</v>
      </c>
      <c r="C9" s="24">
        <f t="shared" si="0"/>
        <v>1.7999999999999999E-2</v>
      </c>
      <c r="D9" s="18">
        <v>0.4</v>
      </c>
      <c r="E9" s="24">
        <f>C9/($A$3-C9) * $A$15</f>
        <v>1.4797195793690536</v>
      </c>
      <c r="F9" s="22" t="s">
        <v>8</v>
      </c>
      <c r="G9" s="10" t="s">
        <v>20</v>
      </c>
      <c r="L9" s="10" t="s">
        <v>141</v>
      </c>
    </row>
    <row r="10" spans="1:12" ht="17.25" x14ac:dyDescent="0.25">
      <c r="A10" s="9" t="s">
        <v>134</v>
      </c>
      <c r="B10" s="27">
        <v>14</v>
      </c>
      <c r="C10" s="24">
        <f t="shared" si="0"/>
        <v>1.4E-2</v>
      </c>
      <c r="D10" s="18">
        <v>0.3</v>
      </c>
      <c r="E10" s="24">
        <f t="shared" si="1"/>
        <v>1.1505089270815951</v>
      </c>
      <c r="F10" s="13">
        <f>RSQ(E:E,D:D)</f>
        <v>0.9981805267436572</v>
      </c>
      <c r="G10" s="9" t="s">
        <v>130</v>
      </c>
      <c r="L10" s="23">
        <f>ABS(L3-L7)/L7*100</f>
        <v>2.1238514381254681</v>
      </c>
    </row>
    <row r="11" spans="1:12" ht="18" x14ac:dyDescent="0.35">
      <c r="A11" s="33">
        <f>A3-A7</f>
        <v>11.958</v>
      </c>
      <c r="B11" s="27">
        <v>10</v>
      </c>
      <c r="C11" s="24">
        <f t="shared" si="0"/>
        <v>0.01</v>
      </c>
      <c r="D11" s="18">
        <v>0.2</v>
      </c>
      <c r="E11" s="24">
        <f t="shared" si="1"/>
        <v>0.82151793160967468</v>
      </c>
      <c r="F11" s="22" t="s">
        <v>16</v>
      </c>
      <c r="G11" s="23">
        <f>(PI()/4)*G7^2</f>
        <v>3.1172453105244723E-7</v>
      </c>
    </row>
    <row r="12" spans="1:12" x14ac:dyDescent="0.25">
      <c r="B12" s="28">
        <v>4</v>
      </c>
      <c r="C12" s="24">
        <f t="shared" si="0"/>
        <v>4.0000000000000001E-3</v>
      </c>
      <c r="D12" s="19">
        <v>0.1</v>
      </c>
      <c r="E12" s="24">
        <f t="shared" si="1"/>
        <v>0.3284428142714238</v>
      </c>
      <c r="F12" s="22" t="s">
        <v>12</v>
      </c>
    </row>
    <row r="13" spans="1:12" ht="18" x14ac:dyDescent="0.35">
      <c r="A13" s="10" t="s">
        <v>142</v>
      </c>
      <c r="F13" s="13">
        <f>STEYX(E:E,D:D)</f>
        <v>4.6425235533292884E-2</v>
      </c>
    </row>
    <row r="14" spans="1:12" ht="18" x14ac:dyDescent="0.35">
      <c r="A14" s="9" t="s">
        <v>127</v>
      </c>
      <c r="F14" s="22" t="s">
        <v>9</v>
      </c>
    </row>
    <row r="15" spans="1:12" x14ac:dyDescent="0.25">
      <c r="A15" s="15">
        <v>985</v>
      </c>
      <c r="F15" s="22" t="s">
        <v>12</v>
      </c>
    </row>
    <row r="16" spans="1:12" x14ac:dyDescent="0.25">
      <c r="A16" t="s">
        <v>35</v>
      </c>
      <c r="F16" s="13">
        <f>STEYX(E:E,D:D)*SQRT(COUNT(D:D)/(COUNT(D:D)*SUMSQ(D:D)-SUM(D:D)^2))</f>
        <v>5.111250210961224E-2</v>
      </c>
    </row>
    <row r="17" spans="1:6" ht="18" x14ac:dyDescent="0.35">
      <c r="A17" s="30">
        <f>A11/A15</f>
        <v>1.2140101522842639E-2</v>
      </c>
      <c r="F17" s="22" t="s">
        <v>10</v>
      </c>
    </row>
    <row r="18" spans="1:6" x14ac:dyDescent="0.25">
      <c r="A18" s="31"/>
      <c r="F18" s="22" t="s">
        <v>12</v>
      </c>
    </row>
    <row r="19" spans="1:6" x14ac:dyDescent="0.25">
      <c r="A19" s="32"/>
      <c r="F19" s="14">
        <f>STEYX(E:E,D:D)*SQRT(SUMSQ(D:D)/(COUNT(D:D)*SUMSQ(D:D)-SUM(D:D)^2))</f>
        <v>3.1714473520515353E-2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N8" sqref="N8"/>
    </sheetView>
  </sheetViews>
  <sheetFormatPr defaultRowHeight="15" x14ac:dyDescent="0.25"/>
  <cols>
    <col min="1" max="1" width="9.140625" customWidth="1"/>
    <col min="4" max="4" width="9.85546875" customWidth="1"/>
    <col min="17" max="17" width="7.140625" customWidth="1"/>
    <col min="18" max="18" width="6.7109375" customWidth="1"/>
  </cols>
  <sheetData>
    <row r="1" spans="1:22" ht="19.5" thickBot="1" x14ac:dyDescent="0.4">
      <c r="A1" s="40" t="s">
        <v>2</v>
      </c>
      <c r="B1" s="41"/>
      <c r="C1" s="1" t="s">
        <v>48</v>
      </c>
      <c r="D1" s="1" t="s">
        <v>4</v>
      </c>
      <c r="E1" s="40" t="s">
        <v>5</v>
      </c>
      <c r="F1" s="41"/>
      <c r="G1" s="1" t="s">
        <v>48</v>
      </c>
      <c r="H1" s="1" t="s">
        <v>18</v>
      </c>
      <c r="I1" s="1" t="s">
        <v>4</v>
      </c>
      <c r="K1" s="34" t="s">
        <v>92</v>
      </c>
      <c r="L1" s="35"/>
      <c r="M1" s="36"/>
      <c r="P1" s="37" t="s">
        <v>64</v>
      </c>
      <c r="Q1" s="38"/>
      <c r="R1" s="38"/>
      <c r="S1" s="39"/>
    </row>
    <row r="2" spans="1:22" ht="15.75" thickBot="1" x14ac:dyDescent="0.3">
      <c r="A2" s="37" t="s">
        <v>65</v>
      </c>
      <c r="B2" s="39"/>
      <c r="C2" s="1" t="s">
        <v>12</v>
      </c>
      <c r="D2">
        <f>COUNT(C:C)</f>
        <v>8</v>
      </c>
      <c r="E2" s="37" t="s">
        <v>68</v>
      </c>
      <c r="F2" s="39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40" t="s">
        <v>91</v>
      </c>
      <c r="Q2" s="43"/>
      <c r="R2" s="43"/>
      <c r="S2" s="41"/>
    </row>
    <row r="3" spans="1:22" ht="15.75" thickBot="1" x14ac:dyDescent="0.3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34" t="s">
        <v>119</v>
      </c>
      <c r="L3" s="35"/>
      <c r="M3" s="36"/>
      <c r="P3" s="5" t="s">
        <v>19</v>
      </c>
      <c r="Q3" s="4" t="s">
        <v>19</v>
      </c>
      <c r="R3" s="5" t="s">
        <v>20</v>
      </c>
      <c r="S3" s="4" t="s">
        <v>20</v>
      </c>
      <c r="T3" s="34" t="s">
        <v>94</v>
      </c>
      <c r="U3" s="35"/>
      <c r="V3" s="36"/>
    </row>
    <row r="4" spans="1:22" x14ac:dyDescent="0.25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 x14ac:dyDescent="0.3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 x14ac:dyDescent="0.4">
      <c r="A6" s="6" t="s">
        <v>100</v>
      </c>
      <c r="B6" s="7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34" t="s">
        <v>108</v>
      </c>
      <c r="L6" s="35"/>
      <c r="M6" s="36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 x14ac:dyDescent="0.25">
      <c r="A7" s="7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 x14ac:dyDescent="0.3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 x14ac:dyDescent="0.4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34" t="s">
        <v>113</v>
      </c>
      <c r="L9" s="35"/>
      <c r="M9" s="36"/>
      <c r="P9" s="5" t="s">
        <v>29</v>
      </c>
      <c r="Q9" s="4" t="s">
        <v>29</v>
      </c>
      <c r="R9" s="5" t="s">
        <v>30</v>
      </c>
      <c r="S9" s="4" t="s">
        <v>30</v>
      </c>
    </row>
    <row r="10" spans="1:22" x14ac:dyDescent="0.25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 x14ac:dyDescent="0.35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 x14ac:dyDescent="0.25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 x14ac:dyDescent="0.25">
      <c r="C13" s="44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 x14ac:dyDescent="0.35">
      <c r="C14" s="44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 x14ac:dyDescent="0.25">
      <c r="C15" s="44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 x14ac:dyDescent="0.25">
      <c r="C16" s="44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 x14ac:dyDescent="0.35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 x14ac:dyDescent="0.25">
      <c r="B18" s="8"/>
      <c r="C18" s="8"/>
      <c r="D18" s="8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 x14ac:dyDescent="0.25">
      <c r="A19" s="42" t="s">
        <v>118</v>
      </c>
      <c r="B19" s="42"/>
      <c r="C19" s="42"/>
      <c r="D19" s="42"/>
      <c r="G19" s="44" t="s">
        <v>112</v>
      </c>
      <c r="H19" s="44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 x14ac:dyDescent="0.3">
      <c r="A20" s="42"/>
      <c r="B20" s="42"/>
      <c r="C20" s="42"/>
      <c r="D20" s="42"/>
      <c r="G20" s="44"/>
      <c r="H20" s="44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 x14ac:dyDescent="0.3">
      <c r="A21" s="42"/>
      <c r="B21" s="42"/>
      <c r="C21" s="42"/>
      <c r="D21" s="42"/>
      <c r="I21" s="34" t="s">
        <v>69</v>
      </c>
      <c r="J21" s="35"/>
      <c r="K21" s="36"/>
      <c r="P21" s="5" t="s">
        <v>44</v>
      </c>
      <c r="Q21" s="4" t="s">
        <v>44</v>
      </c>
      <c r="R21" s="5" t="s">
        <v>57</v>
      </c>
      <c r="S21" s="4" t="s">
        <v>57</v>
      </c>
    </row>
    <row r="22" spans="1:19" x14ac:dyDescent="0.25">
      <c r="A22" s="42"/>
      <c r="B22" s="42"/>
      <c r="C22" s="42"/>
      <c r="D22" s="42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 x14ac:dyDescent="0.25">
      <c r="A23" s="42"/>
      <c r="B23" s="42"/>
      <c r="C23" s="42"/>
      <c r="D23" s="42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 x14ac:dyDescent="0.25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 x14ac:dyDescent="0.25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 x14ac:dyDescent="0.25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 x14ac:dyDescent="0.25">
      <c r="P27" s="5" t="s">
        <v>18</v>
      </c>
      <c r="Q27" s="4" t="s">
        <v>18</v>
      </c>
      <c r="R27" s="5" t="s">
        <v>62</v>
      </c>
      <c r="S27" s="4" t="s">
        <v>62</v>
      </c>
    </row>
    <row r="28" spans="1:19" x14ac:dyDescent="0.25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 x14ac:dyDescent="0.25">
      <c r="A29" t="s">
        <v>105</v>
      </c>
    </row>
    <row r="35" spans="9:9" x14ac:dyDescent="0.25">
      <c r="I35" t="s">
        <v>74</v>
      </c>
    </row>
    <row r="36" spans="9:9" ht="17.25" x14ac:dyDescent="0.25">
      <c r="I36" t="s">
        <v>75</v>
      </c>
    </row>
    <row r="46" spans="9:9" x14ac:dyDescent="0.25">
      <c r="I46" t="s">
        <v>76</v>
      </c>
    </row>
    <row r="47" spans="9:9" x14ac:dyDescent="0.25">
      <c r="I47" t="s">
        <v>77</v>
      </c>
    </row>
    <row r="48" spans="9:9" x14ac:dyDescent="0.25">
      <c r="I48" t="s">
        <v>78</v>
      </c>
    </row>
    <row r="49" spans="9:9" x14ac:dyDescent="0.25">
      <c r="I49" t="s">
        <v>79</v>
      </c>
    </row>
    <row r="59" spans="9:9" x14ac:dyDescent="0.25">
      <c r="I59" t="s">
        <v>80</v>
      </c>
    </row>
    <row r="60" spans="9:9" x14ac:dyDescent="0.25">
      <c r="I60" t="s">
        <v>81</v>
      </c>
    </row>
    <row r="61" spans="9:9" x14ac:dyDescent="0.25">
      <c r="I61" t="s">
        <v>82</v>
      </c>
    </row>
    <row r="71" spans="9:16" x14ac:dyDescent="0.25">
      <c r="I71" t="s">
        <v>83</v>
      </c>
      <c r="M71" s="1" t="s">
        <v>48</v>
      </c>
      <c r="N71" s="1" t="s">
        <v>45</v>
      </c>
    </row>
    <row r="72" spans="9:16" x14ac:dyDescent="0.25">
      <c r="I72" t="s">
        <v>87</v>
      </c>
      <c r="M72" s="1" t="s">
        <v>12</v>
      </c>
      <c r="N72" s="1" t="s">
        <v>67</v>
      </c>
    </row>
    <row r="73" spans="9:16" x14ac:dyDescent="0.25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 x14ac:dyDescent="0.25">
      <c r="I74" t="s">
        <v>84</v>
      </c>
      <c r="M74">
        <v>-1</v>
      </c>
      <c r="N74">
        <v>0.84031349029360847</v>
      </c>
    </row>
    <row r="75" spans="9:16" x14ac:dyDescent="0.25">
      <c r="I75" t="s">
        <v>85</v>
      </c>
      <c r="M75">
        <v>0</v>
      </c>
      <c r="N75">
        <v>0.24456025181718824</v>
      </c>
    </row>
    <row r="76" spans="9:16" x14ac:dyDescent="0.25">
      <c r="M76">
        <v>1</v>
      </c>
      <c r="N76">
        <v>-1.6291120609012069</v>
      </c>
    </row>
    <row r="77" spans="9:16" x14ac:dyDescent="0.25">
      <c r="M77">
        <v>2</v>
      </c>
      <c r="N77">
        <v>-1.9941606398553142</v>
      </c>
    </row>
    <row r="91" spans="9:9" x14ac:dyDescent="0.25">
      <c r="I91" t="s">
        <v>88</v>
      </c>
    </row>
    <row r="92" spans="9:9" x14ac:dyDescent="0.25">
      <c r="I92" t="s">
        <v>89</v>
      </c>
    </row>
    <row r="93" spans="9:9" x14ac:dyDescent="0.25">
      <c r="I93" t="s">
        <v>90</v>
      </c>
    </row>
  </sheetData>
  <mergeCells count="15">
    <mergeCell ref="A19:D23"/>
    <mergeCell ref="T3:V3"/>
    <mergeCell ref="K6:M6"/>
    <mergeCell ref="K9:M9"/>
    <mergeCell ref="P2:S2"/>
    <mergeCell ref="I21:K21"/>
    <mergeCell ref="C13:C16"/>
    <mergeCell ref="G19:H20"/>
    <mergeCell ref="K3:M3"/>
    <mergeCell ref="K1:M1"/>
    <mergeCell ref="P1:S1"/>
    <mergeCell ref="A2:B2"/>
    <mergeCell ref="A1:B1"/>
    <mergeCell ref="E2:F2"/>
    <mergeCell ref="E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 1</vt:lpstr>
      <vt:lpstr>Part 2</vt:lpstr>
      <vt:lpstr>Sheet3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 Small</dc:creator>
  <cp:lastModifiedBy>Benjamin Giftakis</cp:lastModifiedBy>
  <dcterms:created xsi:type="dcterms:W3CDTF">2006-09-16T00:00:00Z</dcterms:created>
  <dcterms:modified xsi:type="dcterms:W3CDTF">2020-08-19T23:30:38Z</dcterms:modified>
</cp:coreProperties>
</file>