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4- coulombs law/"/>
    </mc:Choice>
  </mc:AlternateContent>
  <xr:revisionPtr revIDLastSave="1154" documentId="13_ncr:1_{4CB7FD7E-9BE8-4BA6-B727-058F1851A4AB}" xr6:coauthVersionLast="45" xr6:coauthVersionMax="45" xr10:uidLastSave="{54B1E43F-5E29-405D-8E45-E74AFC8A5268}"/>
  <bookViews>
    <workbookView xWindow="-120" yWindow="-120" windowWidth="38640" windowHeight="21840" activeTab="1" xr2:uid="{00000000-000D-0000-FFFF-FFFF00000000}"/>
  </bookViews>
  <sheets>
    <sheet name="Part 1" sheetId="9" r:id="rId1"/>
    <sheet name="Part 2" sheetId="10" r:id="rId2"/>
    <sheet name="Part 3" sheetId="11" r:id="rId3"/>
    <sheet name="Sheet1" sheetId="12" r:id="rId4"/>
    <sheet name="Help Shee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0" l="1"/>
  <c r="D4" i="10" l="1"/>
  <c r="L2" i="10"/>
  <c r="J6" i="10"/>
  <c r="J5" i="10"/>
  <c r="J4" i="10"/>
  <c r="J3" i="10"/>
  <c r="D6" i="10"/>
  <c r="D5" i="10"/>
  <c r="E16" i="9"/>
  <c r="G3" i="9" s="1"/>
  <c r="H3" i="11" l="1"/>
  <c r="I2" i="11" s="1"/>
  <c r="D3" i="11"/>
  <c r="F12" i="11"/>
  <c r="F9" i="11"/>
  <c r="F6" i="11"/>
  <c r="F3" i="11"/>
  <c r="D4" i="11"/>
  <c r="D5" i="11"/>
  <c r="D6" i="11"/>
  <c r="D7" i="11"/>
  <c r="D8" i="11"/>
  <c r="D9" i="11"/>
  <c r="D10" i="11"/>
  <c r="K2" i="10"/>
  <c r="K8" i="10"/>
  <c r="F2" i="10"/>
  <c r="E8" i="10"/>
  <c r="E5" i="10"/>
  <c r="K5" i="10"/>
  <c r="D1" i="9"/>
  <c r="B1" i="9"/>
  <c r="B10" i="9"/>
  <c r="C10" i="9" s="1"/>
  <c r="B9" i="9"/>
  <c r="C9" i="9" s="1"/>
  <c r="B8" i="9"/>
  <c r="C8" i="9" s="1"/>
  <c r="B7" i="9"/>
  <c r="C7" i="9" s="1"/>
  <c r="B6" i="9"/>
  <c r="C6" i="9" s="1"/>
  <c r="B5" i="9"/>
  <c r="C5" i="9" s="1"/>
  <c r="B4" i="9"/>
  <c r="C4" i="9" s="1"/>
  <c r="B3" i="9"/>
  <c r="C3" i="9" s="1"/>
  <c r="E5" i="9" l="1"/>
  <c r="G1" i="9" s="1"/>
  <c r="E13" i="9"/>
  <c r="E2" i="9"/>
  <c r="E10" i="9"/>
  <c r="E19" i="9"/>
  <c r="E8" i="9"/>
  <c r="E2" i="10"/>
  <c r="L5" i="5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6" i="5" s="1"/>
  <c r="I10" i="5"/>
  <c r="I8" i="5"/>
  <c r="I5" i="5"/>
  <c r="I2" i="5"/>
  <c r="D2" i="5"/>
  <c r="D11" i="5"/>
  <c r="G4" i="9" l="1"/>
  <c r="I19" i="5"/>
</calcChain>
</file>

<file path=xl/sharedStrings.xml><?xml version="1.0" encoding="utf-8"?>
<sst xmlns="http://schemas.openxmlformats.org/spreadsheetml/2006/main" count="288" uniqueCount="154">
  <si>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</si>
  <si>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</si>
  <si>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</si>
  <si>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</si>
  <si>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</si>
  <si>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</si>
  <si>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</si>
  <si>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</si>
  <si>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</si>
  <si>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</si>
  <si>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</si>
  <si>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</si>
  <si>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</si>
  <si>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</si>
  <si>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</si>
  <si>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</si>
  <si>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</si>
  <si>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</si>
  <si>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</si>
  <si>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</si>
  <si>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</si>
  <si>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</si>
  <si>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</si>
  <si>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</si>
  <si>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</si>
  <si>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</si>
  <si>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</si>
  <si>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</si>
  <si>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</si>
  <si>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</si>
  <si>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</si>
  <si>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</si>
  <si>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</si>
  <si>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</si>
  <si>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</si>
  <si>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</si>
  <si>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</si>
  <si>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</si>
  <si>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</si>
  <si>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</si>
  <si>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</si>
  <si>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</si>
  <si>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</si>
  <si>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</si>
  <si>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</si>
  <si>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</si>
  <si>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</si>
  <si>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</si>
  <si>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</si>
  <si>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</si>
  <si>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</si>
  <si>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</si>
  <si>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</si>
  <si>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</si>
  <si>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</si>
  <si>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</si>
  <si>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</si>
  <si>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</si>
  <si>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</si>
  <si>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</si>
  <si>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</si>
  <si>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</si>
  <si>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</si>
  <si>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</si>
  <si>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</si>
  <si>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</si>
  <si>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</si>
  <si>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</si>
  <si>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</si>
  <si>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</si>
  <si>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</si>
  <si>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</si>
  <si>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</si>
  <si>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</si>
  <si>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</si>
  <si>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</si>
  <si>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</si>
  <si>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</si>
  <si>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</si>
  <si>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</si>
  <si>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</si>
  <si>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</si>
  <si>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</si>
  <si>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</si>
  <si>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</si>
  <si>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</si>
  <si>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</si>
  <si>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</si>
  <si>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</si>
  <si>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</si>
  <si>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</si>
  <si>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</si>
  <si>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</si>
  <si>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</si>
  <si>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</si>
  <si>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</si>
  <si>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</si>
  <si>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</si>
  <si>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</si>
  <si>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</si>
  <si>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</si>
  <si>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</si>
  <si>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</si>
  <si>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</si>
  <si>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</si>
  <si>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</si>
  <si>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</si>
  <si>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</si>
  <si>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</si>
  <si>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</si>
  <si>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</si>
  <si>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</si>
  <si>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</si>
  <si>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</si>
  <si>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</si>
  <si>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</si>
  <si>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</si>
  <si>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</si>
  <si>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</si>
  <si>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</si>
  <si>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</si>
  <si>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t>Sensor Angle</t>
  </si>
  <si>
    <t>(deg)</t>
  </si>
  <si>
    <t>(m)</t>
  </si>
  <si>
    <t>(V/m)</t>
  </si>
  <si>
    <t>(C)</t>
  </si>
  <si>
    <t>(+) q</t>
  </si>
  <si>
    <t>% diff (+) q</t>
  </si>
  <si>
    <t>% diff (-) q</t>
  </si>
  <si>
    <t>(-) q</t>
  </si>
  <si>
    <t>sensor</t>
  </si>
  <si>
    <t>#</t>
  </si>
  <si>
    <r>
      <t>k</t>
    </r>
    <r>
      <rPr>
        <b/>
        <vertAlign val="sub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q(3)</t>
    </r>
  </si>
  <si>
    <r>
      <t>k</t>
    </r>
    <r>
      <rPr>
        <b/>
        <vertAlign val="subscript"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q(1,2)</t>
    </r>
  </si>
  <si>
    <t>PFE</t>
  </si>
  <si>
    <r>
      <t>(</t>
    </r>
    <r>
      <rPr>
        <sz val="11"/>
        <color theme="1"/>
        <rFont val="Calibri"/>
        <family val="2"/>
        <scheme val="minor"/>
      </rPr>
      <t>units</t>
    </r>
    <r>
      <rPr>
        <b/>
        <sz val="11"/>
        <color theme="1"/>
        <rFont val="Calibri"/>
        <family val="2"/>
        <scheme val="minor"/>
      </rPr>
      <t>)</t>
    </r>
  </si>
  <si>
    <t xml:space="preserve">q1 = </t>
  </si>
  <si>
    <t>r^2 (m^2)</t>
  </si>
  <si>
    <t>r (cm)</t>
  </si>
  <si>
    <t>1/r^2 (1/m^2)</t>
  </si>
  <si>
    <t>Fe (N)</t>
  </si>
  <si>
    <t>Ke</t>
  </si>
  <si>
    <t>%diff</t>
  </si>
  <si>
    <t>Ka</t>
  </si>
  <si>
    <t>SKe</t>
  </si>
  <si>
    <t>q2 =</t>
  </si>
  <si>
    <t>point</t>
  </si>
  <si>
    <t>v/m</t>
  </si>
  <si>
    <t>center</t>
  </si>
  <si>
    <t>center up</t>
  </si>
  <si>
    <t>left</t>
  </si>
  <si>
    <t>right</t>
  </si>
  <si>
    <t>dipole ^^</t>
  </si>
  <si>
    <t>two + charges 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</si>
</sst>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"/>
    <numFmt numFmtId="165" formatCode="0.0000000000"/>
    <numFmt numFmtId="166" formatCode="0.0000E+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0" fillId="0" borderId="12" xfId="0" applyBorder="1"/>
    <xf numFmtId="0" fontId="1" fillId="0" borderId="13" xfId="0" applyFont="1" applyBorder="1"/>
    <xf numFmtId="0" fontId="0" fillId="0" borderId="13" xfId="0" applyBorder="1"/>
    <xf numFmtId="0" fontId="1" fillId="0" borderId="14" xfId="0" applyFont="1" applyBorder="1" applyAlignment="1">
      <alignment horizontal="center"/>
    </xf>
    <xf numFmtId="0" fontId="0" fillId="0" borderId="15" xfId="0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1" fontId="0" fillId="0" borderId="0" xfId="0" applyNumberFormat="1"/>
    <xf numFmtId="164" fontId="0" fillId="0" borderId="0" xfId="0" applyNumberFormat="1"/>
    <xf numFmtId="11" fontId="0" fillId="0" borderId="12" xfId="0" applyNumberFormat="1" applyBorder="1"/>
    <xf numFmtId="2" fontId="0" fillId="0" borderId="13" xfId="0" applyNumberFormat="1" applyBorder="1"/>
    <xf numFmtId="165" fontId="0" fillId="0" borderId="0" xfId="0" applyNumberFormat="1"/>
    <xf numFmtId="0" fontId="1" fillId="0" borderId="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6" fontId="0" fillId="0" borderId="0" xfId="0" applyNumberFormat="1"/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2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1/r^2 vs</a:t>
            </a:r>
            <a:r>
              <a:rPr lang="en-US" baseline="0"/>
              <a:t> </a:t>
            </a:r>
            <a:r>
              <a:rPr lang="en-US"/>
              <a:t>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'Part 1'!$D$2</c:f>
              <c:strCache>
                <c:ptCount val="1"/>
                <c:pt idx="0">
                  <c:v>Fe (N)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568788276465442"/>
                  <c:y val="-0.693761300670749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'Part 1'!$C$3:$C$10</c:f>
              <c:numCache>
                <c:formatCode>General</c:formatCode>
                <c:ptCount val="8"/>
                <c:pt idx="0">
                  <c:v>99.999999999999986</c:v>
                </c:pt>
                <c:pt idx="1">
                  <c:v>123.4567901234568</c:v>
                </c:pt>
                <c:pt idx="2">
                  <c:v>156.25</c:v>
                </c:pt>
                <c:pt idx="3">
                  <c:v>204.08163265306121</c:v>
                </c:pt>
                <c:pt idx="4">
                  <c:v>277.77777777777777</c:v>
                </c:pt>
                <c:pt idx="5">
                  <c:v>399.99999999999994</c:v>
                </c:pt>
                <c:pt idx="6">
                  <c:v>625</c:v>
                </c:pt>
                <c:pt idx="7">
                  <c:v>1111.1111111111111</c:v>
                </c:pt>
              </c:numCache>
            </c:numRef>
          </c:xVal>
          <c:yVal>
            <c:numRef>
              <c:f>'Part 1'!$D$3:$D$10</c:f>
              <c:numCache>
                <c:formatCode>General</c:formatCode>
                <c:ptCount val="8"/>
                <c:pt idx="0">
                  <c:v>8.0890000000000004</c:v>
                </c:pt>
                <c:pt idx="1">
                  <c:v>9.9860000000000007</c:v>
                </c:pt>
                <c:pt idx="2">
                  <c:v>12.638999999999999</c:v>
                </c:pt>
                <c:pt idx="3">
                  <c:v>16.507999999999999</c:v>
                </c:pt>
                <c:pt idx="4">
                  <c:v>22.469000000000001</c:v>
                </c:pt>
                <c:pt idx="5">
                  <c:v>32.354999999999997</c:v>
                </c:pt>
                <c:pt idx="6">
                  <c:v>50.555</c:v>
                </c:pt>
                <c:pt idx="7">
                  <c:v>89.876000000000005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2-4506-BFB8-4A6CB9145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517087"/>
        <c:axId val="706053679"/>
      </c:scatterChart>
      <c:valAx>
        <c:axId val="711517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1/r^2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053679"/>
        <c:crosses val="autoZero"/>
        <c:crossBetween val="midCat"/>
      </c:valAx>
      <c:valAx>
        <c:axId val="70605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Electrostatic</a:t>
                </a:r>
                <a:r>
                  <a:rPr lang="en-US" baseline="0"/>
                  <a:t> Force (N)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17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 vs 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'Part 1'!$D$2</c:f>
              <c:strCache>
                <c:ptCount val="1"/>
                <c:pt idx="0">
                  <c:v>Fe (N)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568788276465442"/>
                  <c:y val="-0.693761300670749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'Part 1'!$A$3:$A$10</c:f>
              <c:numCache>
                <c:formatCode>General</c:formatCode>
                <c:ptCount val="8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</c:numCache>
            </c:numRef>
          </c:xVal>
          <c:yVal>
            <c:numRef>
              <c:f>'Part 1'!$D$3:$D$10</c:f>
              <c:numCache>
                <c:formatCode>General</c:formatCode>
                <c:ptCount val="8"/>
                <c:pt idx="0">
                  <c:v>8.0890000000000004</c:v>
                </c:pt>
                <c:pt idx="1">
                  <c:v>9.9860000000000007</c:v>
                </c:pt>
                <c:pt idx="2">
                  <c:v>12.638999999999999</c:v>
                </c:pt>
                <c:pt idx="3">
                  <c:v>16.507999999999999</c:v>
                </c:pt>
                <c:pt idx="4">
                  <c:v>22.469000000000001</c:v>
                </c:pt>
                <c:pt idx="5">
                  <c:v>32.354999999999997</c:v>
                </c:pt>
                <c:pt idx="6">
                  <c:v>50.555</c:v>
                </c:pt>
                <c:pt idx="7">
                  <c:v>89.876000000000005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8-4754-9AC4-30F5F2D9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517087"/>
        <c:axId val="706053679"/>
      </c:scatterChart>
      <c:valAx>
        <c:axId val="711517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053679"/>
        <c:crosses val="autoZero"/>
        <c:crossBetween val="midCat"/>
      </c:valAx>
      <c:valAx>
        <c:axId val="70605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Electrostatic</a:t>
                </a:r>
                <a:r>
                  <a:rPr lang="en-US" baseline="0"/>
                  <a:t> Force (N)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517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 vs. E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626946631671041E-2"/>
                  <c:y val="-0.772369130941965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'Part 3'!$D$3:$D$10</c:f>
              <c:numCache>
                <c:formatCode>General</c:formatCode>
                <c:ptCount val="8"/>
                <c:pt idx="0">
                  <c:v>0.25</c:v>
                </c:pt>
                <c:pt idx="1">
                  <c:v>0.70710678118654757</c:v>
                </c:pt>
                <c:pt idx="2">
                  <c:v>1</c:v>
                </c:pt>
                <c:pt idx="3">
                  <c:v>1.4142135623730951</c:v>
                </c:pt>
                <c:pt idx="4">
                  <c:v>1.5</c:v>
                </c:pt>
                <c:pt idx="5">
                  <c:v>2.1213203435596424</c:v>
                </c:pt>
                <c:pt idx="6">
                  <c:v>2.5</c:v>
                </c:pt>
                <c:pt idx="7">
                  <c:v>3.5355339059327378</c:v>
                </c:pt>
              </c:numCache>
            </c:numRef>
          </c:xVal>
          <c:yVal>
            <c:numRef>
              <c:f>'Part 3'!$E$3:$E$10</c:f>
              <c:numCache>
                <c:formatCode>General</c:formatCode>
                <c:ptCount val="8"/>
                <c:pt idx="0">
                  <c:v>144</c:v>
                </c:pt>
                <c:pt idx="1">
                  <c:v>18</c:v>
                </c:pt>
                <c:pt idx="2">
                  <c:v>9</c:v>
                </c:pt>
                <c:pt idx="3">
                  <c:v>4.5</c:v>
                </c:pt>
                <c:pt idx="4">
                  <c:v>4</c:v>
                </c:pt>
                <c:pt idx="5">
                  <c:v>2</c:v>
                </c:pt>
                <c:pt idx="6">
                  <c:v>1.45</c:v>
                </c:pt>
                <c:pt idx="7">
                  <c:v>0.72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F2F-97ED-A8E97EE37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85632"/>
        <c:axId val="2050252512"/>
      </c:scatterChart>
      <c:valAx>
        <c:axId val="6228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Radius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252512"/>
        <c:crosses val="autoZero"/>
        <c:crossBetween val="midCat"/>
      </c:valAx>
      <c:valAx>
        <c:axId val="20502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Electric Potential</a:t>
                </a:r>
                <a:r>
                  <a:rPr lang="en-US" baseline="0"/>
                  <a:t> (V/m)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8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E-4F5A-903B-0D1F4CADE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D0-421C-BE86-96DAE915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7B-4EAC-BF19-AEFD8E8C3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8-4C3E-AB12-199616E72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76-47C0-951E-F63939305D6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76-47C0-951E-F63939305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E2-4293-8E28-DB70EA2A8734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E2-4293-8E28-DB70EA2A8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23</xdr:row>
      <xdr:rowOff>147637</xdr:rowOff>
    </xdr:from>
    <xdr:to>
      <xdr:col>4</xdr:col>
      <xdr:colOff>1190625</xdr:colOff>
      <xdr:row>38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D712E7-6470-4A98-8EEA-1A35527A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24</xdr:row>
      <xdr:rowOff>0</xdr:rowOff>
    </xdr:from>
    <xdr:to>
      <xdr:col>11</xdr:col>
      <xdr:colOff>400050</xdr:colOff>
      <xdr:row>38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11778-EA8D-42C8-AEFF-9E510D51A6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18</xdr:row>
      <xdr:rowOff>61912</xdr:rowOff>
    </xdr:from>
    <xdr:to>
      <xdr:col>12</xdr:col>
      <xdr:colOff>485775</xdr:colOff>
      <xdr:row>32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44CC4C-5044-4B22-9E49-A06F6EC95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9"/>
  <sheetViews>
    <sheetView workbookViewId="0">
      <selection activeCell="C12" sqref="C12"/>
    </sheetView>
  </sheetViews>
  <sheetFormatPr defaultRowHeight="15" x14ac:dyDescent="0.25"/>
  <cols>
    <col min="2" max="2" width="9.7109375" bestFit="1" customWidth="1"/>
    <col min="3" max="3" width="14.140625" customWidth="1"/>
    <col min="5" max="5" width="18.5703125" customWidth="1"/>
    <col min="6" max="6" width="9.42578125" customWidth="1"/>
    <col min="7" max="7" width="13.42578125" customWidth="1"/>
  </cols>
  <sheetData>
    <row r="1" spans="1:7" x14ac:dyDescent="0.25">
      <c r="A1" t="s">
        <v>136</v>
      </c>
      <c r="B1" s="24">
        <f>-3/1000000</f>
        <v>-3.0000000000000001E-6</v>
      </c>
      <c r="C1" s="25" t="s">
        <v>145</v>
      </c>
      <c r="D1" s="24">
        <f>3/1000000</f>
        <v>3.0000000000000001E-6</v>
      </c>
      <c r="E1" s="31" t="s">
        <v>4</v>
      </c>
      <c r="F1" t="s">
        <v>141</v>
      </c>
      <c r="G1">
        <f>ABS(E5*(B1*D1)^-1)</f>
        <v>8987582790.6829605</v>
      </c>
    </row>
    <row r="2" spans="1:7" x14ac:dyDescent="0.25">
      <c r="A2" s="10" t="s">
        <v>138</v>
      </c>
      <c r="B2" s="10" t="s">
        <v>137</v>
      </c>
      <c r="C2" s="10" t="s">
        <v>139</v>
      </c>
      <c r="D2" s="13" t="s">
        <v>140</v>
      </c>
      <c r="E2" s="23">
        <f>IF(COUNT(C$3:C$1048576)=COUNT(D$3:D$1048576),COUNT(C$3:C$1048576), "Your numbers do not match!")</f>
        <v>8</v>
      </c>
      <c r="F2" t="s">
        <v>143</v>
      </c>
      <c r="G2" s="26">
        <v>8990000000</v>
      </c>
    </row>
    <row r="3" spans="1:7" x14ac:dyDescent="0.25">
      <c r="A3" s="21">
        <v>10</v>
      </c>
      <c r="B3" s="20">
        <f>(A3/100)^2</f>
        <v>1.0000000000000002E-2</v>
      </c>
      <c r="C3" s="20">
        <f>1/B3</f>
        <v>99.999999999999986</v>
      </c>
      <c r="D3" s="22">
        <v>8.0890000000000004</v>
      </c>
      <c r="E3" s="32" t="s">
        <v>6</v>
      </c>
      <c r="F3" t="s">
        <v>144</v>
      </c>
      <c r="G3" s="33">
        <f>E16*B1*D1</f>
        <v>-2.1938699811655533E-18</v>
      </c>
    </row>
    <row r="4" spans="1:7" x14ac:dyDescent="0.25">
      <c r="A4" s="11">
        <v>9</v>
      </c>
      <c r="B4" s="20">
        <f t="shared" ref="B4:B10" si="0">(A4/100)^2</f>
        <v>8.0999999999999996E-3</v>
      </c>
      <c r="C4" s="20">
        <f t="shared" ref="C4:C10" si="1">1/B4</f>
        <v>123.4567901234568</v>
      </c>
      <c r="D4" s="23">
        <v>9.9860000000000007</v>
      </c>
      <c r="E4" s="32" t="s">
        <v>12</v>
      </c>
      <c r="F4" t="s">
        <v>142</v>
      </c>
      <c r="G4" s="27">
        <f>ABS(G1-G2)/G2 *100</f>
        <v>2.6887756585533811E-2</v>
      </c>
    </row>
    <row r="5" spans="1:7" x14ac:dyDescent="0.25">
      <c r="A5" s="11">
        <v>8</v>
      </c>
      <c r="B5" s="20">
        <f t="shared" si="0"/>
        <v>6.4000000000000003E-3</v>
      </c>
      <c r="C5" s="20">
        <f t="shared" si="1"/>
        <v>156.25</v>
      </c>
      <c r="D5" s="23">
        <v>12.638999999999999</v>
      </c>
      <c r="E5" s="23">
        <f>SLOPE(D$3:D$1048576,C$3:C$1048576)</f>
        <v>8.0888245116146645E-2</v>
      </c>
    </row>
    <row r="6" spans="1:7" x14ac:dyDescent="0.25">
      <c r="A6" s="11">
        <v>7</v>
      </c>
      <c r="B6" s="20">
        <f t="shared" si="0"/>
        <v>4.9000000000000007E-3</v>
      </c>
      <c r="C6" s="20">
        <f t="shared" si="1"/>
        <v>204.08163265306121</v>
      </c>
      <c r="D6" s="23">
        <v>16.507999999999999</v>
      </c>
      <c r="E6" s="32" t="s">
        <v>7</v>
      </c>
    </row>
    <row r="7" spans="1:7" x14ac:dyDescent="0.25">
      <c r="A7" s="11">
        <v>6</v>
      </c>
      <c r="B7" s="20">
        <f t="shared" si="0"/>
        <v>3.5999999999999999E-3</v>
      </c>
      <c r="C7" s="20">
        <f t="shared" si="1"/>
        <v>277.77777777777777</v>
      </c>
      <c r="D7" s="23">
        <v>22.469000000000001</v>
      </c>
      <c r="E7" s="32" t="s">
        <v>12</v>
      </c>
    </row>
    <row r="8" spans="1:7" x14ac:dyDescent="0.25">
      <c r="A8" s="11">
        <v>5</v>
      </c>
      <c r="B8" s="20">
        <f t="shared" si="0"/>
        <v>2.5000000000000005E-3</v>
      </c>
      <c r="C8" s="20">
        <f t="shared" si="1"/>
        <v>399.99999999999994</v>
      </c>
      <c r="D8" s="23">
        <v>32.354999999999997</v>
      </c>
      <c r="E8" s="23">
        <f>INTERCEPT(D$3:D$1048576,C$3:C$1048576)</f>
        <v>1.7854362134528401E-5</v>
      </c>
    </row>
    <row r="9" spans="1:7" ht="17.25" x14ac:dyDescent="0.25">
      <c r="A9" s="11">
        <v>4</v>
      </c>
      <c r="B9" s="20">
        <f t="shared" si="0"/>
        <v>1.6000000000000001E-3</v>
      </c>
      <c r="C9" s="20">
        <f t="shared" si="1"/>
        <v>625</v>
      </c>
      <c r="D9" s="23">
        <v>50.555</v>
      </c>
      <c r="E9" s="32" t="s">
        <v>8</v>
      </c>
    </row>
    <row r="10" spans="1:7" x14ac:dyDescent="0.25">
      <c r="A10" s="11">
        <v>3</v>
      </c>
      <c r="B10" s="20">
        <f t="shared" si="0"/>
        <v>8.9999999999999998E-4</v>
      </c>
      <c r="C10" s="20">
        <f t="shared" si="1"/>
        <v>1111.1111111111111</v>
      </c>
      <c r="D10" s="23">
        <v>89.876000000000005</v>
      </c>
      <c r="E10" s="23">
        <f>RSQ(D$3:D$1048576,C$3:C$1048576)</f>
        <v>0.99999999994550981</v>
      </c>
    </row>
    <row r="11" spans="1:7" ht="18" x14ac:dyDescent="0.35">
      <c r="E11" s="1" t="s">
        <v>16</v>
      </c>
    </row>
    <row r="12" spans="1:7" x14ac:dyDescent="0.25">
      <c r="E12" s="1" t="s">
        <v>12</v>
      </c>
    </row>
    <row r="13" spans="1:7" x14ac:dyDescent="0.25">
      <c r="E13">
        <f>STEYX(D$3:D$1048576,C$3:C$1048576)</f>
        <v>2.2213242909419298E-4</v>
      </c>
    </row>
    <row r="14" spans="1:7" ht="18" x14ac:dyDescent="0.35">
      <c r="E14" s="1" t="s">
        <v>9</v>
      </c>
    </row>
    <row r="15" spans="1:7" x14ac:dyDescent="0.25">
      <c r="E15" s="1" t="s">
        <v>12</v>
      </c>
    </row>
    <row r="16" spans="1:7" x14ac:dyDescent="0.25">
      <c r="E16" s="30">
        <f>STEYX(D$3:D$1048576,C$3:C$1048576)*SQRT(COUNT(C$3:C$1048576)/(COUNT(C$3:C$1048576)*SUMSQ(C$3:C$1048576)-SUM(C$3:C$1048576)^2))</f>
        <v>2.4376333124061704E-7</v>
      </c>
    </row>
    <row r="17" spans="5:5" ht="18" x14ac:dyDescent="0.35">
      <c r="E17" s="1" t="s">
        <v>10</v>
      </c>
    </row>
    <row r="18" spans="5:5" x14ac:dyDescent="0.25">
      <c r="E18" s="1" t="s">
        <v>12</v>
      </c>
    </row>
    <row r="19" spans="5:5" x14ac:dyDescent="0.25">
      <c r="E19">
        <f>STEYX(D$3:D$1048576,C$3:C$1048576)*SQRT(SUMSQ(C$3:C$1048576)/(COUNT(C$3:C$1048576)*SUMSQ(C$3:C$1048576)-SUM(C$3:C$1048576)^2))</f>
        <v>1.2046134048254354E-4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1"/>
  <sheetViews>
    <sheetView tabSelected="1" workbookViewId="0">
      <selection activeCell="F4" sqref="F4"/>
    </sheetView>
  </sheetViews>
  <sheetFormatPr defaultRowHeight="15" x14ac:dyDescent="0.25"/>
  <cols>
    <col min="1" max="1" width="12.7109375" customWidth="1"/>
    <col min="2" max="2" width="5.140625" customWidth="1"/>
    <col min="3" max="3" width="6.5703125" customWidth="1"/>
    <col min="4" max="4" width="9" customWidth="1"/>
    <col min="5" max="5" width="9.85546875" customWidth="1"/>
    <col min="6" max="6" width="11.28515625" style="11" customWidth="1"/>
    <col min="7" max="7" width="12.85546875" customWidth="1"/>
    <col min="8" max="8" width="4.28515625" customWidth="1"/>
    <col min="9" max="9" width="6.7109375" customWidth="1"/>
    <col min="10" max="10" width="9" customWidth="1"/>
    <col min="11" max="11" width="8.5703125" customWidth="1"/>
    <col min="12" max="12" width="10.5703125" customWidth="1"/>
  </cols>
  <sheetData>
    <row r="1" spans="1:12" x14ac:dyDescent="0.25">
      <c r="A1" s="9" t="s">
        <v>121</v>
      </c>
      <c r="B1" s="9" t="s">
        <v>3</v>
      </c>
      <c r="C1" s="9" t="s">
        <v>28</v>
      </c>
      <c r="D1" s="12" t="s">
        <v>126</v>
      </c>
      <c r="E1" s="16" t="s">
        <v>4</v>
      </c>
      <c r="F1" s="14" t="s">
        <v>127</v>
      </c>
      <c r="G1" s="9" t="s">
        <v>121</v>
      </c>
      <c r="H1" s="9" t="s">
        <v>3</v>
      </c>
      <c r="I1" s="9" t="s">
        <v>28</v>
      </c>
      <c r="J1" s="12" t="s">
        <v>129</v>
      </c>
      <c r="K1" s="16" t="s">
        <v>4</v>
      </c>
      <c r="L1" s="14" t="s">
        <v>128</v>
      </c>
    </row>
    <row r="2" spans="1:12" x14ac:dyDescent="0.25">
      <c r="A2" s="9" t="s">
        <v>122</v>
      </c>
      <c r="B2" s="9" t="s">
        <v>123</v>
      </c>
      <c r="C2" s="9" t="s">
        <v>124</v>
      </c>
      <c r="D2" s="12" t="s">
        <v>125</v>
      </c>
      <c r="E2" s="17">
        <f>COUNT(D:D)</f>
        <v>4</v>
      </c>
      <c r="F2" s="29">
        <f>ABS(D3-0.000000001)/0.000000001 *100</f>
        <v>2.6434559348844378</v>
      </c>
      <c r="G2" s="9" t="s">
        <v>122</v>
      </c>
      <c r="H2" s="9" t="s">
        <v>123</v>
      </c>
      <c r="I2" s="9" t="s">
        <v>124</v>
      </c>
      <c r="J2" s="12" t="s">
        <v>125</v>
      </c>
      <c r="K2" s="17">
        <f>COUNT(J:J)</f>
        <v>4</v>
      </c>
      <c r="L2" s="29">
        <f>ABS(K5-0.000000001)/0.000000001 *100</f>
        <v>2.6434559348844378</v>
      </c>
    </row>
    <row r="3" spans="1:12" x14ac:dyDescent="0.25">
      <c r="A3" s="10">
        <v>0</v>
      </c>
      <c r="B3" s="10">
        <v>0.5</v>
      </c>
      <c r="C3" s="10">
        <v>35</v>
      </c>
      <c r="D3" s="28">
        <f>(C3*B3^2)/'Part 1'!$G$1</f>
        <v>9.7356544065115568E-10</v>
      </c>
      <c r="E3" s="18" t="s">
        <v>11</v>
      </c>
      <c r="G3" s="10">
        <v>0</v>
      </c>
      <c r="H3" s="10">
        <v>0.5</v>
      </c>
      <c r="I3" s="10">
        <v>35</v>
      </c>
      <c r="J3" s="28">
        <f>(I3*H3^2)/'Part 1'!$G$1</f>
        <v>9.7356544065115568E-10</v>
      </c>
      <c r="K3" s="18" t="s">
        <v>11</v>
      </c>
    </row>
    <row r="4" spans="1:12" x14ac:dyDescent="0.25">
      <c r="A4" s="10">
        <v>90</v>
      </c>
      <c r="B4" s="10">
        <v>0.5</v>
      </c>
      <c r="C4" s="10">
        <v>35</v>
      </c>
      <c r="D4" s="28">
        <f>(C4*B4^2)/'Part 1'!$G$1</f>
        <v>9.7356544065115568E-10</v>
      </c>
      <c r="E4" s="19" t="s">
        <v>23</v>
      </c>
      <c r="G4" s="10">
        <v>90</v>
      </c>
      <c r="H4" s="10">
        <v>0.5</v>
      </c>
      <c r="I4" s="10">
        <v>35</v>
      </c>
      <c r="J4" s="28">
        <f>(I4*H4^2)/'Part 1'!$G$1</f>
        <v>9.7356544065115568E-10</v>
      </c>
      <c r="K4" s="19" t="s">
        <v>24</v>
      </c>
    </row>
    <row r="5" spans="1:12" x14ac:dyDescent="0.25">
      <c r="A5" s="10">
        <v>180</v>
      </c>
      <c r="B5" s="10">
        <v>0.5</v>
      </c>
      <c r="C5" s="10">
        <v>35</v>
      </c>
      <c r="D5" s="28">
        <f>(C5*B5^2)/'Part 1'!$G$1</f>
        <v>9.7356544065115568E-10</v>
      </c>
      <c r="E5" s="17">
        <f>AVERAGE(D:D)</f>
        <v>9.7356544065115568E-10</v>
      </c>
      <c r="G5" s="10">
        <v>180</v>
      </c>
      <c r="H5" s="10">
        <v>0.5</v>
      </c>
      <c r="I5" s="10">
        <v>35</v>
      </c>
      <c r="J5" s="28">
        <f>(I5*H5^2)/'Part 1'!$G$1</f>
        <v>9.7356544065115568E-10</v>
      </c>
      <c r="K5" s="17">
        <f>AVERAGE(J:J)</f>
        <v>9.7356544065115568E-10</v>
      </c>
    </row>
    <row r="6" spans="1:12" ht="18" x14ac:dyDescent="0.35">
      <c r="A6" s="10">
        <v>-90</v>
      </c>
      <c r="B6" s="10">
        <v>0.5</v>
      </c>
      <c r="C6" s="10">
        <v>35</v>
      </c>
      <c r="D6" s="28">
        <f>(C6*B6^2)/'Part 1'!$G$1</f>
        <v>9.7356544065115568E-10</v>
      </c>
      <c r="E6" s="19" t="s">
        <v>13</v>
      </c>
      <c r="G6" s="10">
        <v>-90</v>
      </c>
      <c r="H6" s="10">
        <v>0.5</v>
      </c>
      <c r="I6" s="10">
        <v>35</v>
      </c>
      <c r="J6" s="28">
        <f>(I6*H6^2)/'Part 1'!$G$1</f>
        <v>9.7356544065115568E-10</v>
      </c>
      <c r="K6" s="19" t="s">
        <v>13</v>
      </c>
    </row>
    <row r="7" spans="1:12" x14ac:dyDescent="0.25">
      <c r="E7" s="19" t="s">
        <v>23</v>
      </c>
      <c r="K7" s="19" t="s">
        <v>24</v>
      </c>
    </row>
    <row r="8" spans="1:12" x14ac:dyDescent="0.25">
      <c r="E8" s="17">
        <f>_xlfn.STDEV.S(D:D)</f>
        <v>0</v>
      </c>
      <c r="K8" s="17">
        <f>_xlfn.STDEV.S(J:J)</f>
        <v>0</v>
      </c>
    </row>
    <row r="9" spans="1:12" ht="18" x14ac:dyDescent="0.35">
      <c r="E9" s="19" t="s">
        <v>14</v>
      </c>
      <c r="K9" s="19" t="s">
        <v>14</v>
      </c>
    </row>
    <row r="10" spans="1:12" x14ac:dyDescent="0.25">
      <c r="E10" s="19" t="s">
        <v>23</v>
      </c>
      <c r="K10" s="19" t="s">
        <v>24</v>
      </c>
    </row>
    <row r="11" spans="1:12" x14ac:dyDescent="0.25">
      <c r="F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workbookViewId="0">
      <selection activeCell="H10" sqref="H10"/>
    </sheetView>
  </sheetViews>
  <sheetFormatPr defaultRowHeight="15" x14ac:dyDescent="0.25"/>
  <sheetData>
    <row r="1" spans="1:9" ht="18" x14ac:dyDescent="0.35">
      <c r="A1" s="9" t="s">
        <v>130</v>
      </c>
      <c r="B1" s="9" t="s">
        <v>48</v>
      </c>
      <c r="C1" s="9" t="s">
        <v>18</v>
      </c>
      <c r="D1" s="9" t="s">
        <v>3</v>
      </c>
      <c r="E1" s="9" t="s">
        <v>28</v>
      </c>
      <c r="G1" s="9" t="s">
        <v>132</v>
      </c>
      <c r="H1" s="9" t="s">
        <v>133</v>
      </c>
      <c r="I1" s="14" t="s">
        <v>134</v>
      </c>
    </row>
    <row r="2" spans="1:9" x14ac:dyDescent="0.25">
      <c r="A2" s="9" t="s">
        <v>131</v>
      </c>
      <c r="B2" s="9" t="s">
        <v>123</v>
      </c>
      <c r="C2" s="9" t="s">
        <v>123</v>
      </c>
      <c r="D2" s="9" t="s">
        <v>123</v>
      </c>
      <c r="E2" s="9" t="s">
        <v>124</v>
      </c>
      <c r="F2" s="1" t="s">
        <v>4</v>
      </c>
      <c r="G2" s="9" t="s">
        <v>135</v>
      </c>
      <c r="H2" s="9" t="s">
        <v>135</v>
      </c>
      <c r="I2" s="15">
        <f>((G3-H3)/H3)*100</f>
        <v>2.9222508971585466</v>
      </c>
    </row>
    <row r="3" spans="1:9" x14ac:dyDescent="0.25">
      <c r="A3" s="10">
        <v>1</v>
      </c>
      <c r="B3" s="10">
        <v>0.25</v>
      </c>
      <c r="C3" s="10">
        <v>0</v>
      </c>
      <c r="D3" s="10">
        <f>SQRT(B3^2+C3^2)</f>
        <v>0.25</v>
      </c>
      <c r="E3" s="10">
        <v>144</v>
      </c>
      <c r="F3">
        <f>COUNT(E:E)</f>
        <v>8</v>
      </c>
      <c r="G3" s="10">
        <v>9.0056999999999992</v>
      </c>
      <c r="H3" s="10">
        <f>8990000000 *  0.000000000973304</f>
        <v>8.7500029599999998</v>
      </c>
    </row>
    <row r="4" spans="1:9" x14ac:dyDescent="0.25">
      <c r="A4" s="10">
        <v>2</v>
      </c>
      <c r="B4" s="10">
        <v>0.5</v>
      </c>
      <c r="C4" s="10">
        <v>0.5</v>
      </c>
      <c r="D4" s="10">
        <f t="shared" ref="D4:D10" si="0">SQRT(B4^2+C4^2)</f>
        <v>0.70710678118654757</v>
      </c>
      <c r="E4" s="10">
        <v>18</v>
      </c>
      <c r="F4" s="2" t="s">
        <v>11</v>
      </c>
    </row>
    <row r="5" spans="1:9" x14ac:dyDescent="0.25">
      <c r="A5" s="10">
        <v>3</v>
      </c>
      <c r="B5" s="10">
        <v>0</v>
      </c>
      <c r="C5" s="10">
        <v>1</v>
      </c>
      <c r="D5" s="10">
        <f t="shared" si="0"/>
        <v>1</v>
      </c>
      <c r="E5" s="10">
        <v>9</v>
      </c>
      <c r="F5" s="1" t="s">
        <v>12</v>
      </c>
    </row>
    <row r="6" spans="1:9" x14ac:dyDescent="0.25">
      <c r="A6" s="10">
        <v>4</v>
      </c>
      <c r="B6" s="10">
        <v>-1</v>
      </c>
      <c r="C6" s="10">
        <v>1</v>
      </c>
      <c r="D6" s="10">
        <f t="shared" si="0"/>
        <v>1.4142135623730951</v>
      </c>
      <c r="E6" s="10">
        <v>4.5</v>
      </c>
      <c r="F6">
        <f>AVERAGE(E:E)</f>
        <v>22.958749999999998</v>
      </c>
    </row>
    <row r="7" spans="1:9" ht="18" x14ac:dyDescent="0.35">
      <c r="A7" s="10">
        <v>5</v>
      </c>
      <c r="B7" s="10">
        <v>-1.5</v>
      </c>
      <c r="C7" s="10">
        <v>0</v>
      </c>
      <c r="D7" s="10">
        <f t="shared" si="0"/>
        <v>1.5</v>
      </c>
      <c r="E7" s="10">
        <v>4</v>
      </c>
      <c r="F7" s="1" t="s">
        <v>13</v>
      </c>
    </row>
    <row r="8" spans="1:9" x14ac:dyDescent="0.25">
      <c r="A8" s="10">
        <v>6</v>
      </c>
      <c r="B8" s="10">
        <v>-1.5</v>
      </c>
      <c r="C8" s="10">
        <v>-1.5</v>
      </c>
      <c r="D8" s="10">
        <f t="shared" si="0"/>
        <v>2.1213203435596424</v>
      </c>
      <c r="E8" s="10">
        <v>2</v>
      </c>
      <c r="F8" s="1" t="s">
        <v>12</v>
      </c>
    </row>
    <row r="9" spans="1:9" x14ac:dyDescent="0.25">
      <c r="A9" s="10">
        <v>7</v>
      </c>
      <c r="B9" s="10">
        <v>0</v>
      </c>
      <c r="C9" s="10">
        <v>-2.5</v>
      </c>
      <c r="D9" s="10">
        <f t="shared" si="0"/>
        <v>2.5</v>
      </c>
      <c r="E9" s="10">
        <v>1.45</v>
      </c>
      <c r="F9">
        <f>_xlfn.STDEV.S(E:E)</f>
        <v>49.232737783337392</v>
      </c>
    </row>
    <row r="10" spans="1:9" ht="18" x14ac:dyDescent="0.35">
      <c r="A10" s="10">
        <v>8</v>
      </c>
      <c r="B10" s="10">
        <v>2.5</v>
      </c>
      <c r="C10" s="10">
        <v>-2.5</v>
      </c>
      <c r="D10" s="10">
        <f t="shared" si="0"/>
        <v>3.5355339059327378</v>
      </c>
      <c r="E10" s="10">
        <v>0.72</v>
      </c>
      <c r="F10" s="1" t="s">
        <v>14</v>
      </c>
    </row>
    <row r="11" spans="1:9" x14ac:dyDescent="0.25">
      <c r="F11" s="1" t="s">
        <v>12</v>
      </c>
    </row>
    <row r="12" spans="1:9" x14ac:dyDescent="0.25">
      <c r="F12">
        <f>F9/SQRT(F3)</f>
        <v>17.40640137148851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B6C86-9519-48D9-AFC2-07A6804FE88F}">
  <dimension ref="A1:C14"/>
  <sheetViews>
    <sheetView workbookViewId="0">
      <selection activeCell="C56" sqref="C56"/>
    </sheetView>
  </sheetViews>
  <sheetFormatPr defaultRowHeight="15" x14ac:dyDescent="0.25"/>
  <sheetData>
    <row r="1" spans="1:3" x14ac:dyDescent="0.25">
      <c r="A1" t="s">
        <v>146</v>
      </c>
      <c r="B1" t="s">
        <v>147</v>
      </c>
      <c r="C1" t="s">
        <v>28</v>
      </c>
    </row>
    <row r="2" spans="1:3" x14ac:dyDescent="0.25">
      <c r="A2" t="s">
        <v>148</v>
      </c>
      <c r="B2">
        <v>18</v>
      </c>
      <c r="C2">
        <v>3.5000000000000003E-2</v>
      </c>
    </row>
    <row r="3" spans="1:3" x14ac:dyDescent="0.25">
      <c r="A3" t="s">
        <v>149</v>
      </c>
      <c r="B3">
        <v>12.7</v>
      </c>
      <c r="C3">
        <v>-3.5999999999999997E-2</v>
      </c>
    </row>
    <row r="4" spans="1:3" x14ac:dyDescent="0.25">
      <c r="A4" t="s">
        <v>150</v>
      </c>
      <c r="B4">
        <v>7.9</v>
      </c>
      <c r="C4">
        <v>5.9850000000000003</v>
      </c>
    </row>
    <row r="5" spans="1:3" x14ac:dyDescent="0.25">
      <c r="A5" t="s">
        <v>151</v>
      </c>
      <c r="B5">
        <v>7.9</v>
      </c>
      <c r="C5">
        <v>-5.6849999999999996</v>
      </c>
    </row>
    <row r="7" spans="1:3" x14ac:dyDescent="0.25">
      <c r="B7" t="s">
        <v>152</v>
      </c>
    </row>
    <row r="8" spans="1:3" x14ac:dyDescent="0.25">
      <c r="B8" t="s">
        <v>153</v>
      </c>
    </row>
    <row r="10" spans="1:3" x14ac:dyDescent="0.25">
      <c r="A10" t="s">
        <v>146</v>
      </c>
      <c r="B10" t="s">
        <v>147</v>
      </c>
      <c r="C10" t="s">
        <v>28</v>
      </c>
    </row>
    <row r="11" spans="1:3" x14ac:dyDescent="0.25">
      <c r="A11" t="s">
        <v>148</v>
      </c>
      <c r="B11">
        <v>0.18</v>
      </c>
      <c r="C11">
        <v>18</v>
      </c>
    </row>
    <row r="12" spans="1:3" x14ac:dyDescent="0.25">
      <c r="A12" t="s">
        <v>149</v>
      </c>
      <c r="B12">
        <v>6.49</v>
      </c>
      <c r="C12">
        <v>16</v>
      </c>
    </row>
    <row r="13" spans="1:3" x14ac:dyDescent="0.25">
      <c r="A13" t="s">
        <v>150</v>
      </c>
      <c r="B13">
        <v>9.89</v>
      </c>
      <c r="C13">
        <v>12</v>
      </c>
    </row>
    <row r="14" spans="1:3" x14ac:dyDescent="0.25">
      <c r="A14" t="s">
        <v>151</v>
      </c>
      <c r="B14">
        <v>9.9700000000000006</v>
      </c>
      <c r="C14">
        <v>12.02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RowHeight="15" x14ac:dyDescent="0.2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 x14ac:dyDescent="0.4">
      <c r="A1" s="40" t="s">
        <v>2</v>
      </c>
      <c r="B1" s="41"/>
      <c r="C1" s="1" t="s">
        <v>48</v>
      </c>
      <c r="D1" s="1" t="s">
        <v>4</v>
      </c>
      <c r="E1" s="40" t="s">
        <v>5</v>
      </c>
      <c r="F1" s="41"/>
      <c r="G1" s="1" t="s">
        <v>48</v>
      </c>
      <c r="H1" s="1" t="s">
        <v>18</v>
      </c>
      <c r="I1" s="1" t="s">
        <v>4</v>
      </c>
      <c r="K1" s="34" t="s">
        <v>92</v>
      </c>
      <c r="L1" s="35"/>
      <c r="M1" s="36"/>
      <c r="P1" s="37" t="s">
        <v>64</v>
      </c>
      <c r="Q1" s="38"/>
      <c r="R1" s="38"/>
      <c r="S1" s="39"/>
    </row>
    <row r="2" spans="1:22" ht="15.75" thickBot="1" x14ac:dyDescent="0.3">
      <c r="A2" s="37" t="s">
        <v>65</v>
      </c>
      <c r="B2" s="39"/>
      <c r="C2" s="1" t="s">
        <v>12</v>
      </c>
      <c r="D2">
        <f>COUNT(C:C)</f>
        <v>8</v>
      </c>
      <c r="E2" s="37" t="s">
        <v>68</v>
      </c>
      <c r="F2" s="39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40" t="s">
        <v>91</v>
      </c>
      <c r="Q2" s="43"/>
      <c r="R2" s="43"/>
      <c r="S2" s="41"/>
    </row>
    <row r="3" spans="1:22" ht="15.75" thickBot="1" x14ac:dyDescent="0.3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34" t="s">
        <v>119</v>
      </c>
      <c r="L3" s="35"/>
      <c r="M3" s="36"/>
      <c r="P3" s="5" t="s">
        <v>19</v>
      </c>
      <c r="Q3" s="4" t="s">
        <v>19</v>
      </c>
      <c r="R3" s="5" t="s">
        <v>20</v>
      </c>
      <c r="S3" s="4" t="s">
        <v>20</v>
      </c>
      <c r="T3" s="34" t="s">
        <v>94</v>
      </c>
      <c r="U3" s="35"/>
      <c r="V3" s="36"/>
    </row>
    <row r="4" spans="1:22" x14ac:dyDescent="0.25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 x14ac:dyDescent="0.3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 x14ac:dyDescent="0.4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34" t="s">
        <v>108</v>
      </c>
      <c r="L6" s="35"/>
      <c r="M6" s="36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 x14ac:dyDescent="0.25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 x14ac:dyDescent="0.3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 x14ac:dyDescent="0.4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34" t="s">
        <v>113</v>
      </c>
      <c r="L9" s="35"/>
      <c r="M9" s="36"/>
      <c r="P9" s="5" t="s">
        <v>29</v>
      </c>
      <c r="Q9" s="4" t="s">
        <v>29</v>
      </c>
      <c r="R9" s="5" t="s">
        <v>30</v>
      </c>
      <c r="S9" s="4" t="s">
        <v>30</v>
      </c>
    </row>
    <row r="10" spans="1:22" x14ac:dyDescent="0.25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 x14ac:dyDescent="0.35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 x14ac:dyDescent="0.25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 x14ac:dyDescent="0.25">
      <c r="C13" s="44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 x14ac:dyDescent="0.35">
      <c r="C14" s="44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 x14ac:dyDescent="0.25">
      <c r="C15" s="44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 x14ac:dyDescent="0.25">
      <c r="C16" s="44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 x14ac:dyDescent="0.35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 x14ac:dyDescent="0.25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 x14ac:dyDescent="0.25">
      <c r="A19" s="42" t="s">
        <v>118</v>
      </c>
      <c r="B19" s="42"/>
      <c r="C19" s="42"/>
      <c r="D19" s="42"/>
      <c r="G19" s="44" t="s">
        <v>112</v>
      </c>
      <c r="H19" s="44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 x14ac:dyDescent="0.3">
      <c r="A20" s="42"/>
      <c r="B20" s="42"/>
      <c r="C20" s="42"/>
      <c r="D20" s="42"/>
      <c r="G20" s="44"/>
      <c r="H20" s="44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 x14ac:dyDescent="0.3">
      <c r="A21" s="42"/>
      <c r="B21" s="42"/>
      <c r="C21" s="42"/>
      <c r="D21" s="42"/>
      <c r="I21" s="34" t="s">
        <v>69</v>
      </c>
      <c r="J21" s="35"/>
      <c r="K21" s="36"/>
      <c r="P21" s="5" t="s">
        <v>44</v>
      </c>
      <c r="Q21" s="4" t="s">
        <v>44</v>
      </c>
      <c r="R21" s="5" t="s">
        <v>57</v>
      </c>
      <c r="S21" s="4" t="s">
        <v>57</v>
      </c>
    </row>
    <row r="22" spans="1:19" x14ac:dyDescent="0.25">
      <c r="A22" s="42"/>
      <c r="B22" s="42"/>
      <c r="C22" s="42"/>
      <c r="D22" s="42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 x14ac:dyDescent="0.25">
      <c r="A23" s="42"/>
      <c r="B23" s="42"/>
      <c r="C23" s="42"/>
      <c r="D23" s="42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 x14ac:dyDescent="0.25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 x14ac:dyDescent="0.25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 x14ac:dyDescent="0.25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 x14ac:dyDescent="0.25">
      <c r="P27" s="5" t="s">
        <v>18</v>
      </c>
      <c r="Q27" s="4" t="s">
        <v>18</v>
      </c>
      <c r="R27" s="5" t="s">
        <v>62</v>
      </c>
      <c r="S27" s="4" t="s">
        <v>62</v>
      </c>
    </row>
    <row r="28" spans="1:19" x14ac:dyDescent="0.25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 x14ac:dyDescent="0.25">
      <c r="A29" t="s">
        <v>105</v>
      </c>
    </row>
    <row r="35" spans="9:9" x14ac:dyDescent="0.25">
      <c r="I35" t="s">
        <v>74</v>
      </c>
    </row>
    <row r="36" spans="9:9" ht="17.25" x14ac:dyDescent="0.25">
      <c r="I36" t="s">
        <v>75</v>
      </c>
    </row>
    <row r="46" spans="9:9" x14ac:dyDescent="0.25">
      <c r="I46" t="s">
        <v>76</v>
      </c>
    </row>
    <row r="47" spans="9:9" x14ac:dyDescent="0.25">
      <c r="I47" t="s">
        <v>77</v>
      </c>
    </row>
    <row r="48" spans="9:9" x14ac:dyDescent="0.25">
      <c r="I48" t="s">
        <v>78</v>
      </c>
    </row>
    <row r="49" spans="9:9" x14ac:dyDescent="0.25">
      <c r="I49" t="s">
        <v>79</v>
      </c>
    </row>
    <row r="59" spans="9:9" x14ac:dyDescent="0.25">
      <c r="I59" t="s">
        <v>80</v>
      </c>
    </row>
    <row r="60" spans="9:9" x14ac:dyDescent="0.25">
      <c r="I60" t="s">
        <v>81</v>
      </c>
    </row>
    <row r="61" spans="9:9" x14ac:dyDescent="0.25">
      <c r="I61" t="s">
        <v>82</v>
      </c>
    </row>
    <row r="71" spans="9:16" x14ac:dyDescent="0.25">
      <c r="I71" t="s">
        <v>83</v>
      </c>
      <c r="M71" s="1" t="s">
        <v>48</v>
      </c>
      <c r="N71" s="1" t="s">
        <v>45</v>
      </c>
    </row>
    <row r="72" spans="9:16" x14ac:dyDescent="0.25">
      <c r="I72" t="s">
        <v>87</v>
      </c>
      <c r="M72" s="1" t="s">
        <v>12</v>
      </c>
      <c r="N72" s="1" t="s">
        <v>67</v>
      </c>
    </row>
    <row r="73" spans="9:16" x14ac:dyDescent="0.25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 x14ac:dyDescent="0.25">
      <c r="I74" t="s">
        <v>84</v>
      </c>
      <c r="M74">
        <v>-1</v>
      </c>
      <c r="N74">
        <v>0.84031349029360847</v>
      </c>
    </row>
    <row r="75" spans="9:16" x14ac:dyDescent="0.25">
      <c r="I75" t="s">
        <v>85</v>
      </c>
      <c r="M75">
        <v>0</v>
      </c>
      <c r="N75">
        <v>0.24456025181718824</v>
      </c>
    </row>
    <row r="76" spans="9:16" x14ac:dyDescent="0.25">
      <c r="M76">
        <v>1</v>
      </c>
      <c r="N76">
        <v>-1.6291120609012069</v>
      </c>
    </row>
    <row r="77" spans="9:16" x14ac:dyDescent="0.25">
      <c r="M77">
        <v>2</v>
      </c>
      <c r="N77">
        <v>-1.9941606398553142</v>
      </c>
    </row>
    <row r="91" spans="9:9" x14ac:dyDescent="0.25">
      <c r="I91" t="s">
        <v>88</v>
      </c>
    </row>
    <row r="92" spans="9:9" x14ac:dyDescent="0.25">
      <c r="I92" t="s">
        <v>89</v>
      </c>
    </row>
    <row r="93" spans="9:9" x14ac:dyDescent="0.25">
      <c r="I93" t="s">
        <v>90</v>
      </c>
    </row>
  </sheetData>
  <mergeCells count="15">
    <mergeCell ref="A19:D23"/>
    <mergeCell ref="T3:V3"/>
    <mergeCell ref="K6:M6"/>
    <mergeCell ref="K9:M9"/>
    <mergeCell ref="P2:S2"/>
    <mergeCell ref="I21:K21"/>
    <mergeCell ref="C13:C16"/>
    <mergeCell ref="G19:H20"/>
    <mergeCell ref="K3:M3"/>
    <mergeCell ref="K1:M1"/>
    <mergeCell ref="P1:S1"/>
    <mergeCell ref="A2:B2"/>
    <mergeCell ref="A1:B1"/>
    <mergeCell ref="E2:F2"/>
    <mergeCell ref="E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 1</vt:lpstr>
      <vt:lpstr>Part 2</vt:lpstr>
      <vt:lpstr>Part 3</vt:lpstr>
      <vt:lpstr>Sheet1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Small</dc:creator>
  <cp:lastModifiedBy>Benjamin Giftakis</cp:lastModifiedBy>
  <dcterms:created xsi:type="dcterms:W3CDTF">2006-09-16T00:00:00Z</dcterms:created>
  <dcterms:modified xsi:type="dcterms:W3CDTF">2020-08-19T23:46:42Z</dcterms:modified>
</cp:coreProperties>
</file>