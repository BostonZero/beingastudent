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filterPrivacy="1" codeName="ThisWorkbook" defaultThemeVersion="124226"/>
  <xr:revisionPtr revIDLastSave="688" documentId="11_A8EC42D2A72B89426DACA3C81E1951B268A52075" xr6:coauthVersionLast="45" xr6:coauthVersionMax="45" xr10:uidLastSave="{CBABCE5C-09EC-4C8B-BA67-D9EB49C61BEC}"/>
  <bookViews>
    <workbookView xWindow="21375" yWindow="240" windowWidth="22620" windowHeight="21600" xr2:uid="{00000000-000D-0000-FFFF-FFFF00000000}"/>
  </bookViews>
  <sheets>
    <sheet name="Sheet1" sheetId="9" r:id="rId1"/>
    <sheet name="Sheet2" sheetId="10" r:id="rId2"/>
    <sheet name="Sheet3" sheetId="11" r:id="rId3"/>
    <sheet name="Help Sheet" sheetId="5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9" l="1"/>
  <c r="W8" i="9"/>
  <c r="W11" i="9"/>
  <c r="W5" i="9"/>
  <c r="W2" i="9"/>
  <c r="Q19" i="9"/>
  <c r="Q16" i="9"/>
  <c r="Q13" i="9"/>
  <c r="Q10" i="9"/>
  <c r="Q8" i="9"/>
  <c r="Q5" i="9"/>
  <c r="Q2" i="9"/>
  <c r="L3" i="9" l="1"/>
  <c r="L4" i="9"/>
  <c r="L5" i="9"/>
  <c r="L6" i="9"/>
  <c r="L7" i="9"/>
  <c r="L8" i="9"/>
  <c r="L9" i="9"/>
  <c r="L10" i="9"/>
  <c r="L11" i="9"/>
  <c r="K12" i="9"/>
  <c r="K11" i="9"/>
  <c r="K10" i="9"/>
  <c r="K9" i="9"/>
  <c r="K8" i="9"/>
  <c r="K7" i="9"/>
  <c r="K6" i="9"/>
  <c r="K5" i="9"/>
  <c r="K4" i="9"/>
  <c r="K3" i="9"/>
  <c r="C10" i="9" l="1"/>
  <c r="C9" i="9"/>
  <c r="C8" i="9"/>
  <c r="C7" i="9"/>
  <c r="C5" i="9"/>
  <c r="C4" i="9"/>
  <c r="C3" i="9"/>
  <c r="I4" i="9"/>
  <c r="I5" i="9" s="1"/>
  <c r="I6" i="9" s="1"/>
  <c r="I7" i="9" s="1"/>
  <c r="I8" i="9" s="1"/>
  <c r="I9" i="9" s="1"/>
  <c r="I10" i="9" s="1"/>
  <c r="I11" i="9" s="1"/>
  <c r="I12" i="9" s="1"/>
  <c r="L5" i="5" l="1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6" i="5" s="1"/>
  <c r="I10" i="5"/>
  <c r="I8" i="5"/>
  <c r="I5" i="5"/>
  <c r="I2" i="5"/>
  <c r="D2" i="5"/>
  <c r="D11" i="5" s="1"/>
  <c r="I19" i="5" l="1"/>
</calcChain>
</file>

<file path=xl/sharedStrings.xml><?xml version="1.0" encoding="utf-8"?>
<sst xmlns="http://schemas.openxmlformats.org/spreadsheetml/2006/main" count="231" uniqueCount="129">
  <si>
    <t>r</t>
  </si>
  <si>
    <t>I</t>
  </si>
  <si>
    <t>(i)</t>
  </si>
  <si>
    <t>theta</t>
  </si>
  <si>
    <t>I-theta</t>
  </si>
  <si>
    <t>cm</t>
  </si>
  <si>
    <t>lux</t>
  </si>
  <si>
    <t>degrees</t>
  </si>
  <si>
    <t>rads</t>
  </si>
  <si>
    <t>1D Stats</t>
  </si>
  <si>
    <t>x</t>
  </si>
  <si>
    <t>N</t>
  </si>
  <si>
    <t>2D Stats</t>
  </si>
  <si>
    <t>y</t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</si>
  <si>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</si>
  <si>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 xml:space="preserve">Latin to Greek </t>
  </si>
  <si>
    <t xml:space="preserve">Ctrl+Shift+D  </t>
  </si>
  <si>
    <t>(units)</t>
  </si>
  <si>
    <t>Ctrl+Shift+V</t>
  </si>
  <si>
    <t>(stinu)</t>
  </si>
  <si>
    <t>Highlight, right click, Format Cells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</si>
  <si>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</si>
  <si>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t>Example</t>
  </si>
  <si>
    <r>
      <t>`</t>
    </r>
    <r>
      <rPr>
        <b/>
        <sz val="11"/>
        <color theme="1"/>
        <rFont val="Calibri"/>
        <family val="2"/>
        <scheme val="minor"/>
      </rPr>
      <t>x</t>
    </r>
  </si>
  <si>
    <t>slope</t>
  </si>
  <si>
    <t>Absolute Value</t>
  </si>
  <si>
    <t>a</t>
  </si>
  <si>
    <t>A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</si>
  <si>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</si>
  <si>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>(The codes are</t>
  </si>
  <si>
    <t xml:space="preserve"> "=abs()" with number in parentheses</t>
  </si>
  <si>
    <t>b</t>
  </si>
  <si>
    <t>B</t>
  </si>
  <si>
    <t xml:space="preserve">Type "`" before the letter </t>
  </si>
  <si>
    <t xml:space="preserve"> in the cells if</t>
  </si>
  <si>
    <t>Example:</t>
  </si>
  <si>
    <t>c</t>
  </si>
  <si>
    <t>C</t>
  </si>
  <si>
    <t>(the key above "Tab" and below "Esc")</t>
  </si>
  <si>
    <t>you prefer to not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</si>
  <si>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</si>
  <si>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intercept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</si>
  <si>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</si>
  <si>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d</t>
  </si>
  <si>
    <t>D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</si>
  <si>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</si>
  <si>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</si>
  <si>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Type "pi()" with nothing in the parentheses</t>
  </si>
  <si>
    <t>e</t>
  </si>
  <si>
    <t>E</t>
  </si>
  <si>
    <t>f</t>
  </si>
  <si>
    <t>F</t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</si>
  <si>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</si>
  <si>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</si>
  <si>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Absolute references</t>
  </si>
  <si>
    <t>g</t>
  </si>
  <si>
    <t>G</t>
  </si>
  <si>
    <t>"$" before letter to protect left-right</t>
  </si>
  <si>
    <t>h</t>
  </si>
  <si>
    <t>H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</si>
  <si>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</si>
  <si>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i</t>
  </si>
  <si>
    <t>j</t>
  </si>
  <si>
    <t>J</t>
  </si>
  <si>
    <t>No extra numbers in this column</t>
  </si>
  <si>
    <t>"$" before number to protect up-down</t>
  </si>
  <si>
    <t>k</t>
  </si>
  <si>
    <t>K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</si>
  <si>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</si>
  <si>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t>l</t>
  </si>
  <si>
    <t>L</t>
  </si>
  <si>
    <t>m</t>
  </si>
  <si>
    <t>M</t>
  </si>
  <si>
    <t>"$" in both places to protect all four directions</t>
  </si>
  <si>
    <t>n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</si>
  <si>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</si>
  <si>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t>o</t>
  </si>
  <si>
    <t>O</t>
  </si>
  <si>
    <t>p</t>
  </si>
  <si>
    <t>P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</si>
  <si>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</si>
  <si>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No extra numbers in these columns</t>
  </si>
  <si>
    <t>q</t>
  </si>
  <si>
    <t>Q</t>
  </si>
  <si>
    <t>R</t>
  </si>
  <si>
    <t>How to Make a 2D linear Graph</t>
  </si>
  <si>
    <t>s</t>
  </si>
  <si>
    <t>S</t>
  </si>
  <si>
    <t>Select data, independent variable on left</t>
  </si>
  <si>
    <t>t</t>
  </si>
  <si>
    <t>T</t>
  </si>
  <si>
    <t>Insert--&gt;Scatter--&gt;Scatter with only Markers</t>
  </si>
  <si>
    <t>u</t>
  </si>
  <si>
    <t>U</t>
  </si>
  <si>
    <t>For the curious:</t>
  </si>
  <si>
    <t>Click graph--&gt;Design--&gt;Chart Layout--&gt;Layout 1</t>
  </si>
  <si>
    <t>v</t>
  </si>
  <si>
    <t>V</t>
  </si>
  <si>
    <t>How 1D data was created in column C</t>
  </si>
  <si>
    <t>Label Title and axes</t>
  </si>
  <si>
    <t>w</t>
  </si>
  <si>
    <t>W</t>
  </si>
  <si>
    <t>NORM.INV(RAND(),76, 1)</t>
  </si>
  <si>
    <t>X</t>
  </si>
  <si>
    <t>Y</t>
  </si>
  <si>
    <t>How 2D data was created in column H</t>
  </si>
  <si>
    <t>z</t>
  </si>
  <si>
    <t>Z</t>
  </si>
  <si>
    <t>NORM.INV(RAND(),4+G3+7,0.5)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</si>
  <si>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</si>
  <si>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</si>
  <si>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</si>
  <si>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</si>
  <si>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</si>
  <si>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</si>
  <si>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</si>
  <si>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</si>
  <si>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</si>
  <si>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</si>
  <si>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Right Click graph, select data--&gt;Add</t>
  </si>
  <si>
    <t>Series Namefor Legend, or edit data later</t>
  </si>
  <si>
    <t>&lt;----------</t>
  </si>
  <si>
    <t>NORM.INV(RAND(),-M73,0.5)</t>
  </si>
  <si>
    <t>Enter data</t>
  </si>
  <si>
    <t>click graph--&gt;Layout--&gt;Legend</t>
  </si>
  <si>
    <t>If using for Lab Report, CHANGE VARIABLES LAST</t>
  </si>
  <si>
    <t>Notice in this graph, only change is the bottom "y" to "u"</t>
  </si>
  <si>
    <t>Now F9 changes data, top equation changes but bottom doesn't anymore</t>
  </si>
  <si>
    <t>cos(theta)^2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</si>
</sst>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2" fontId="0" fillId="0" borderId="0" xfId="0" applyNumberFormat="1"/>
    <xf numFmtId="2" fontId="0" fillId="0" borderId="0" xfId="0" applyNumberFormat="1" applyFont="1" applyAlignment="1">
      <alignment horizontal="center"/>
    </xf>
    <xf numFmtId="2" fontId="0" fillId="0" borderId="0" xfId="0" applyNumberFormat="1" applyFont="1"/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square root of I vs distance</a:t>
            </a:r>
          </a:p>
        </c:rich>
      </c:tx>
      <c:layout>
        <c:manualLayout>
          <c:xMode val="edge"/>
          <c:yMode val="edge"/>
          <c:x val="0.30961111111111111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82172621908997"/>
          <c:y val="0.17171296296296296"/>
          <c:w val="0.69629303854010594"/>
          <c:h val="0.51681284631087776"/>
        </c:manualLayout>
      </c:layout>
      <c:scatterChart>
        <c:scatterStyle val="lineMarker"/>
        <c:varyColors val="0"/>
        <c:ser>
          <c:idx val="0"/>
          <c:order val="0"/>
          <c:tx>
            <c:v>inverse square root of I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21768240844064723"/>
                  <c:y val="-5.0462962962962961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Sheet1!$C$3:$C$10</c:f>
              <c:numCache>
                <c:formatCode>0.00</c:formatCode>
                <c:ptCount val="8"/>
                <c:pt idx="0">
                  <c:v>6.3275932944069233E-2</c:v>
                </c:pt>
                <c:pt idx="1">
                  <c:v>8.6184482277935973E-2</c:v>
                </c:pt>
                <c:pt idx="2">
                  <c:v>0.17124693631268542</c:v>
                </c:pt>
                <c:pt idx="4">
                  <c:v>0.50832856777534885</c:v>
                </c:pt>
                <c:pt idx="5">
                  <c:v>0.59234887775909228</c:v>
                </c:pt>
                <c:pt idx="6">
                  <c:v>0.675737378399486</c:v>
                </c:pt>
                <c:pt idx="7">
                  <c:v>0.76028592126970562</c:v>
                </c:pt>
              </c:numCache>
            </c:numRef>
          </c:xVal>
          <c:yVal>
            <c:numRef>
              <c:f>Sheet1!$A$3:$A$10</c:f>
              <c:numCache>
                <c:formatCode>0.00</c:formatCode>
                <c:ptCount val="8"/>
                <c:pt idx="0">
                  <c:v>7.32</c:v>
                </c:pt>
                <c:pt idx="1">
                  <c:v>10.199999999999999</c:v>
                </c:pt>
                <c:pt idx="2">
                  <c:v>20.12</c:v>
                </c:pt>
                <c:pt idx="4">
                  <c:v>59.45</c:v>
                </c:pt>
                <c:pt idx="5">
                  <c:v>70</c:v>
                </c:pt>
                <c:pt idx="6">
                  <c:v>80.33</c:v>
                </c:pt>
                <c:pt idx="7">
                  <c:v>89.98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89-4DC9-8ACD-FBB01B2DDA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62408319"/>
        <c:axId val="363568783"/>
      </c:scatterChart>
      <c:valAx>
        <c:axId val="362408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1/sqrt(I)</a:t>
                </a:r>
                <a:r>
                  <a:rPr lang="en-US" baseline="0"/>
                  <a:t> lux +- .5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68783"/>
        <c:crosses val="autoZero"/>
        <c:crossBetween val="midCat"/>
      </c:valAx>
      <c:valAx>
        <c:axId val="36356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08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intensity</a:t>
            </a:r>
            <a:r>
              <a:rPr lang="en-US" baseline="0"/>
              <a:t> vs distance</a:t>
            </a:r>
            <a:endParaRPr lang="en-US"/>
          </a:p>
        </c:rich>
      </c:tx>
      <c:layout>
        <c:manualLayout>
          <c:xMode val="edge"/>
          <c:yMode val="edge"/>
          <c:x val="0.43239544093611909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561847393596852E-2"/>
          <c:y val="0.17171296296296296"/>
          <c:w val="0.6434012798208652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23910042768871154"/>
                  <c:y val="-0.582554316127150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Sheet1!$A$3:$A$10</c:f>
              <c:numCache>
                <c:formatCode>0.00</c:formatCode>
                <c:ptCount val="8"/>
                <c:pt idx="0">
                  <c:v>7.32</c:v>
                </c:pt>
                <c:pt idx="1">
                  <c:v>10.199999999999999</c:v>
                </c:pt>
                <c:pt idx="2">
                  <c:v>20.12</c:v>
                </c:pt>
                <c:pt idx="4">
                  <c:v>59.45</c:v>
                </c:pt>
                <c:pt idx="5">
                  <c:v>70</c:v>
                </c:pt>
                <c:pt idx="6">
                  <c:v>80.33</c:v>
                </c:pt>
                <c:pt idx="7">
                  <c:v>89.98</c:v>
                </c:pt>
              </c:numCache>
            </c:numRef>
          </c:xVal>
          <c:yVal>
            <c:numRef>
              <c:f>Sheet1!$B$3:$B$10</c:f>
              <c:numCache>
                <c:formatCode>General</c:formatCode>
                <c:ptCount val="8"/>
                <c:pt idx="0">
                  <c:v>249.76</c:v>
                </c:pt>
                <c:pt idx="1">
                  <c:v>134.63</c:v>
                </c:pt>
                <c:pt idx="2">
                  <c:v>34.1</c:v>
                </c:pt>
                <c:pt idx="4">
                  <c:v>3.87</c:v>
                </c:pt>
                <c:pt idx="5">
                  <c:v>2.85</c:v>
                </c:pt>
                <c:pt idx="6">
                  <c:v>2.19</c:v>
                </c:pt>
                <c:pt idx="7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86-4C1C-93EF-4863AFAF9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894079"/>
        <c:axId val="249730719"/>
      </c:scatterChart>
      <c:valAx>
        <c:axId val="48389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r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730719"/>
        <c:crosses val="autoZero"/>
        <c:crossBetween val="midCat"/>
      </c:valAx>
      <c:valAx>
        <c:axId val="24973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  <a:r>
                  <a:rPr lang="en-US" baseline="0"/>
                  <a:t> i (lux)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intensity</a:t>
            </a:r>
            <a:r>
              <a:rPr lang="en-US" baseline="0"/>
              <a:t> vs distance</a:t>
            </a:r>
            <a:endParaRPr lang="en-US"/>
          </a:p>
        </c:rich>
      </c:tx>
      <c:layout>
        <c:manualLayout>
          <c:xMode val="edge"/>
          <c:yMode val="edge"/>
          <c:x val="0.43239544093611909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561847393596852E-2"/>
          <c:y val="0.17171296296296296"/>
          <c:w val="0.6434012798208652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23910042768871154"/>
                  <c:y val="-0.582554316127150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Sheet1!$A$3:$A$13</c:f>
              <c:numCache>
                <c:formatCode>0.00</c:formatCode>
                <c:ptCount val="11"/>
                <c:pt idx="0">
                  <c:v>7.32</c:v>
                </c:pt>
                <c:pt idx="1">
                  <c:v>10.199999999999999</c:v>
                </c:pt>
                <c:pt idx="2">
                  <c:v>20.12</c:v>
                </c:pt>
                <c:pt idx="4">
                  <c:v>59.45</c:v>
                </c:pt>
                <c:pt idx="5">
                  <c:v>70</c:v>
                </c:pt>
                <c:pt idx="6">
                  <c:v>80.33</c:v>
                </c:pt>
                <c:pt idx="7">
                  <c:v>89.98</c:v>
                </c:pt>
                <c:pt idx="10">
                  <c:v>28.95</c:v>
                </c:pt>
              </c:numCache>
            </c:numRef>
          </c:xVal>
          <c:yVal>
            <c:numRef>
              <c:f>Sheet1!$B$3:$B$13</c:f>
              <c:numCache>
                <c:formatCode>General</c:formatCode>
                <c:ptCount val="11"/>
                <c:pt idx="0">
                  <c:v>249.76</c:v>
                </c:pt>
                <c:pt idx="1">
                  <c:v>134.63</c:v>
                </c:pt>
                <c:pt idx="2">
                  <c:v>34.1</c:v>
                </c:pt>
                <c:pt idx="4">
                  <c:v>3.87</c:v>
                </c:pt>
                <c:pt idx="5">
                  <c:v>2.85</c:v>
                </c:pt>
                <c:pt idx="6">
                  <c:v>2.19</c:v>
                </c:pt>
                <c:pt idx="7">
                  <c:v>1.73</c:v>
                </c:pt>
                <c:pt idx="10">
                  <c:v>8.64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53-4E9C-B00D-30C7CCECB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894079"/>
        <c:axId val="249730719"/>
      </c:scatterChart>
      <c:valAx>
        <c:axId val="48389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r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730719"/>
        <c:crosses val="autoZero"/>
        <c:crossBetween val="midCat"/>
      </c:valAx>
      <c:valAx>
        <c:axId val="24973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  <a:r>
                  <a:rPr lang="en-US" baseline="0"/>
                  <a:t> i (lux)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I-Theta</a:t>
            </a:r>
            <a:r>
              <a:rPr lang="en-US" baseline="0"/>
              <a:t> vs Theta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Sheet1!$I$3:$I$12</c:f>
              <c:numCache>
                <c:formatCode>0.00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Sheet1!$J$3:$J$12</c:f>
              <c:numCache>
                <c:formatCode>0.00</c:formatCode>
                <c:ptCount val="10"/>
                <c:pt idx="0">
                  <c:v>24.45</c:v>
                </c:pt>
                <c:pt idx="1">
                  <c:v>23.71</c:v>
                </c:pt>
                <c:pt idx="2">
                  <c:v>21.59</c:v>
                </c:pt>
                <c:pt idx="3">
                  <c:v>18.34</c:v>
                </c:pt>
                <c:pt idx="4">
                  <c:v>14.35</c:v>
                </c:pt>
                <c:pt idx="5">
                  <c:v>10.1</c:v>
                </c:pt>
                <c:pt idx="6">
                  <c:v>6.11</c:v>
                </c:pt>
                <c:pt idx="7">
                  <c:v>2.86</c:v>
                </c:pt>
                <c:pt idx="8">
                  <c:v>0.74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E3-4F61-8502-25145D38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171128"/>
        <c:axId val="824192344"/>
      </c:scatterChart>
      <c:valAx>
        <c:axId val="824171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</a:t>
                </a:r>
                <a:r>
                  <a:rPr lang="en-US" baseline="0"/>
                  <a:t> Theta degrees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92344"/>
        <c:crosses val="autoZero"/>
        <c:crossBetween val="midCat"/>
      </c:valAx>
      <c:valAx>
        <c:axId val="82419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I-Theta Lux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7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</a:t>
            </a:r>
            <a:r>
              <a:rPr lang="en-US" baseline="30000"/>
              <a:t>2</a:t>
            </a:r>
            <a:r>
              <a:rPr lang="en-US" baseline="0"/>
              <a:t>Theta vs I-Theta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Sheet1!$L$3:$L$12</c:f>
              <c:numCache>
                <c:formatCode>0.00</c:formatCode>
                <c:ptCount val="10"/>
                <c:pt idx="0">
                  <c:v>1</c:v>
                </c:pt>
                <c:pt idx="1">
                  <c:v>0.9698463103929541</c:v>
                </c:pt>
                <c:pt idx="2">
                  <c:v>0.88302222155948906</c:v>
                </c:pt>
                <c:pt idx="3">
                  <c:v>0.75000000000000011</c:v>
                </c:pt>
                <c:pt idx="4">
                  <c:v>0.58682408883346515</c:v>
                </c:pt>
                <c:pt idx="5">
                  <c:v>0.41317591116653485</c:v>
                </c:pt>
                <c:pt idx="6">
                  <c:v>0.25000000000000011</c:v>
                </c:pt>
                <c:pt idx="7">
                  <c:v>0.11697777844051105</c:v>
                </c:pt>
                <c:pt idx="8">
                  <c:v>3.0153689607045831E-2</c:v>
                </c:pt>
                <c:pt idx="9">
                  <c:v>0</c:v>
                </c:pt>
              </c:numCache>
            </c:numRef>
          </c:xVal>
          <c:yVal>
            <c:numRef>
              <c:f>Sheet1!$J$3:$J$12</c:f>
              <c:numCache>
                <c:formatCode>0.00</c:formatCode>
                <c:ptCount val="10"/>
                <c:pt idx="0">
                  <c:v>24.45</c:v>
                </c:pt>
                <c:pt idx="1">
                  <c:v>23.71</c:v>
                </c:pt>
                <c:pt idx="2">
                  <c:v>21.59</c:v>
                </c:pt>
                <c:pt idx="3">
                  <c:v>18.34</c:v>
                </c:pt>
                <c:pt idx="4">
                  <c:v>14.35</c:v>
                </c:pt>
                <c:pt idx="5">
                  <c:v>10.1</c:v>
                </c:pt>
                <c:pt idx="6">
                  <c:v>6.11</c:v>
                </c:pt>
                <c:pt idx="7">
                  <c:v>2.86</c:v>
                </c:pt>
                <c:pt idx="8">
                  <c:v>0.74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CD-461C-A364-BCC95A21D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697383"/>
        <c:axId val="633686151"/>
      </c:scatterChart>
      <c:valAx>
        <c:axId val="633697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</a:t>
                </a:r>
                <a:r>
                  <a:rPr lang="en-US" baseline="30000"/>
                  <a:t>2</a:t>
                </a:r>
                <a:r>
                  <a:rPr lang="en-US" sz="1000" b="0" i="0" u="none" strike="noStrike" baseline="0">
                    <a:effectLst/>
                  </a:rPr>
                  <a:t>theta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86151"/>
        <c:crosses val="autoZero"/>
        <c:crossBetween val="midCat"/>
      </c:valAx>
      <c:valAx>
        <c:axId val="633686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I-Theta lux</a:t>
                </a:r>
              </a:p>
              <a:p>
                <a:pPr>
                  <a:defRPr/>
                </a:pPr>
                <a:endParaRPr lang="en-US" sz="1000" b="0" i="0" u="none" strike="noStrike" baseline="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97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B-447D-9FA9-19C0529F5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91816"/>
        <c:axId val="186692600"/>
      </c:scatterChart>
      <c:valAx>
        <c:axId val="186691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2600"/>
        <c:crosses val="autoZero"/>
        <c:crossBetween val="midCat"/>
      </c:valAx>
      <c:valAx>
        <c:axId val="186692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1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D7-41CC-8742-B6E020CB9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93776"/>
        <c:axId val="186694168"/>
      </c:scatterChart>
      <c:valAx>
        <c:axId val="18669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4168"/>
        <c:crosses val="autoZero"/>
        <c:crossBetween val="midCat"/>
      </c:valAx>
      <c:valAx>
        <c:axId val="186694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7-4D2D-A11D-4CFD2411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03040"/>
        <c:axId val="186603824"/>
      </c:scatterChart>
      <c:valAx>
        <c:axId val="186603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3824"/>
        <c:crosses val="autoZero"/>
        <c:crossBetween val="midCat"/>
      </c:valAx>
      <c:valAx>
        <c:axId val="18660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8-4E95-AACC-5576B88BE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05000"/>
        <c:axId val="186605392"/>
      </c:scatterChart>
      <c:valAx>
        <c:axId val="186605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5392"/>
        <c:crosses val="autoZero"/>
        <c:crossBetween val="midCat"/>
      </c:valAx>
      <c:valAx>
        <c:axId val="186605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5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3-47E7-9FE9-ED66AD1968A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3-47E7-9FE9-ED66AD19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94928"/>
        <c:axId val="231495320"/>
      </c:scatterChart>
      <c:valAx>
        <c:axId val="23149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495320"/>
        <c:crosses val="autoZero"/>
        <c:crossBetween val="midCat"/>
      </c:valAx>
      <c:valAx>
        <c:axId val="231495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49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1D-47CC-B860-F231A943B15A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1D-47CC-B860-F231A943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96496"/>
        <c:axId val="231099776"/>
      </c:scatterChart>
      <c:valAx>
        <c:axId val="23149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099776"/>
        <c:crosses val="autoZero"/>
        <c:crossBetween val="midCat"/>
      </c:valAx>
      <c:valAx>
        <c:axId val="23109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496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100012</xdr:colOff>
      <xdr:row>22</xdr:row>
      <xdr:rowOff>71437</xdr:rowOff>
    </xdr:from>
    <xdr:to>
      <xdr:col>13</xdr:col>
      <xdr:colOff>190500</xdr:colOff>
      <xdr:row>36</xdr:row>
      <xdr:rowOff>147637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694E72B-2BBD-4921-BD42-ED5A3914F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40</xdr:row>
      <xdr:rowOff>71436</xdr:rowOff>
    </xdr:from>
    <xdr:to>
      <xdr:col>13</xdr:col>
      <xdr:colOff>171450</xdr:colOff>
      <xdr:row>60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7B66A9-7DC0-4C24-AC39-39519FD85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62</xdr:row>
      <xdr:rowOff>9525</xdr:rowOff>
    </xdr:from>
    <xdr:to>
      <xdr:col>13</xdr:col>
      <xdr:colOff>133350</xdr:colOff>
      <xdr:row>81</xdr:row>
      <xdr:rowOff>157164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1E02590-0AE2-4235-A85B-7AC2ACA7F3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447675</xdr:colOff>
      <xdr:row>40</xdr:row>
      <xdr:rowOff>114300</xdr:rowOff>
    </xdr:from>
    <xdr:to>
      <xdr:col>22</xdr:col>
      <xdr:colOff>142875</xdr:colOff>
      <xdr:row>55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F54C77-9AD2-4884-896C-4A61C200AE79}"/>
            </a:ext>
            <a:ext uri="{147F2762-F138-4A5C-976F-8EAC2B608ADB}">
              <a16:predDERef xmlns:a16="http://schemas.microsoft.com/office/drawing/2014/main" pred="{D1E02590-0AE2-4235-A85B-7AC2ACA7F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200025</xdr:colOff>
      <xdr:row>23</xdr:row>
      <xdr:rowOff>38100</xdr:rowOff>
    </xdr:from>
    <xdr:to>
      <xdr:col>21</xdr:col>
      <xdr:colOff>504825</xdr:colOff>
      <xdr:row>37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92FA0C-4B01-4CF0-9E89-85724C65FA06}"/>
            </a:ext>
            <a:ext uri="{147F2762-F138-4A5C-976F-8EAC2B608ADB}">
              <a16:predDERef xmlns:a16="http://schemas.microsoft.com/office/drawing/2014/main" pred="{BFF54C77-9AD2-4884-896C-4A61C200A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76200</xdr:rowOff>
    </xdr:from>
    <xdr:to>
      <xdr:col>12</xdr:col>
      <xdr:colOff>590550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571500</xdr:colOff>
      <xdr:row>44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581025</xdr:colOff>
      <xdr:row>57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552450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142875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9"/>
  <sheetViews>
    <sheetView tabSelected="1" zoomScale="145" zoomScaleNormal="145" workbookViewId="0">
      <selection activeCell="B1" sqref="B1"/>
    </sheetView>
  </sheetViews>
  <sheetFormatPr defaultRowHeight="15" x14ac:dyDescent="0.25"/>
  <cols>
    <col min="12" max="12" width="14.140625" customWidth="1"/>
    <col min="16" max="16" width="13.28515625" customWidth="1"/>
  </cols>
  <sheetData>
    <row r="1" spans="1:23" x14ac:dyDescent="0.25">
      <c r="A1" t="s">
        <v>0</v>
      </c>
      <c r="C1" s="10" t="s">
        <v>2</v>
      </c>
      <c r="H1" s="1"/>
      <c r="I1" t="s">
        <v>3</v>
      </c>
      <c r="J1" t="s">
        <v>4</v>
      </c>
      <c r="K1" t="s">
        <v>3</v>
      </c>
      <c r="L1" t="s">
        <v>128</v>
      </c>
      <c r="O1" t="s">
        <v>4</v>
      </c>
      <c r="P1" t="s">
        <v>128</v>
      </c>
      <c r="Q1" s="1" t="s">
        <v>11</v>
      </c>
      <c r="V1" t="s">
        <v>5</v>
      </c>
      <c r="W1" s="1" t="s">
        <v>11</v>
      </c>
    </row>
    <row r="2" spans="1:23" x14ac:dyDescent="0.25">
      <c r="A2" t="s">
        <v>5</v>
      </c>
      <c r="B2" t="s">
        <v>6</v>
      </c>
      <c r="C2" s="11" t="s">
        <v>6</v>
      </c>
      <c r="I2" t="s">
        <v>7</v>
      </c>
      <c r="J2" t="s">
        <v>6</v>
      </c>
      <c r="K2" t="s">
        <v>8</v>
      </c>
      <c r="O2" t="s">
        <v>6</v>
      </c>
      <c r="Q2">
        <f>IF(COUNT(O:O)=COUNT(P:P),COUNT(O:O), "Your numbers do not match!")</f>
        <v>10</v>
      </c>
      <c r="V2">
        <v>20.12</v>
      </c>
      <c r="W2">
        <f>COUNT(V:V)</f>
        <v>5</v>
      </c>
    </row>
    <row r="3" spans="1:23" x14ac:dyDescent="0.25">
      <c r="A3" s="9">
        <v>7.32</v>
      </c>
      <c r="B3">
        <v>249.76</v>
      </c>
      <c r="C3" s="10">
        <f>1/SQRT(B3)</f>
        <v>6.3275932944069233E-2</v>
      </c>
      <c r="H3" s="2"/>
      <c r="I3" s="9">
        <v>0</v>
      </c>
      <c r="J3" s="9">
        <v>24.45</v>
      </c>
      <c r="K3" s="9">
        <f>I3*(PI()/180)</f>
        <v>0</v>
      </c>
      <c r="L3" s="9">
        <f t="shared" ref="L3:L12" si="0">COS(K3)^2</f>
        <v>1</v>
      </c>
      <c r="O3" s="9">
        <v>24.45</v>
      </c>
      <c r="P3" s="9">
        <v>1</v>
      </c>
      <c r="Q3" s="1" t="s">
        <v>24</v>
      </c>
      <c r="V3">
        <v>20.149999999999999</v>
      </c>
      <c r="W3" s="2" t="s">
        <v>23</v>
      </c>
    </row>
    <row r="4" spans="1:23" x14ac:dyDescent="0.25">
      <c r="A4" s="9">
        <v>10.199999999999999</v>
      </c>
      <c r="B4">
        <v>134.63</v>
      </c>
      <c r="C4" s="10">
        <f>1/SQRT(B4)</f>
        <v>8.6184482277935973E-2</v>
      </c>
      <c r="H4" s="1"/>
      <c r="I4" s="9">
        <f>I3+10</f>
        <v>10</v>
      </c>
      <c r="J4" s="9">
        <v>23.71</v>
      </c>
      <c r="K4" s="9">
        <f t="shared" ref="K4:K12" si="1">I4*(PI()/180)</f>
        <v>0.17453292519943295</v>
      </c>
      <c r="L4" s="9">
        <f t="shared" si="0"/>
        <v>0.9698463103929541</v>
      </c>
      <c r="O4" s="9">
        <v>23.71</v>
      </c>
      <c r="P4" s="9">
        <v>0.9698463103929541</v>
      </c>
      <c r="Q4" s="1" t="s">
        <v>17</v>
      </c>
      <c r="V4">
        <v>20.18</v>
      </c>
      <c r="W4" s="1" t="s">
        <v>5</v>
      </c>
    </row>
    <row r="5" spans="1:23" x14ac:dyDescent="0.25">
      <c r="A5" s="9">
        <v>20.12</v>
      </c>
      <c r="B5">
        <v>34.1</v>
      </c>
      <c r="C5" s="10">
        <f>1/SQRT(B5)</f>
        <v>0.17124693631268542</v>
      </c>
      <c r="I5" s="9">
        <f t="shared" ref="I5:I11" si="2">I4+10</f>
        <v>20</v>
      </c>
      <c r="J5" s="9">
        <v>21.59</v>
      </c>
      <c r="K5" s="9">
        <f t="shared" si="1"/>
        <v>0.3490658503988659</v>
      </c>
      <c r="L5" s="9">
        <f t="shared" si="0"/>
        <v>0.88302222155948906</v>
      </c>
      <c r="O5" s="9">
        <v>21.59</v>
      </c>
      <c r="P5" s="9">
        <v>0.88302222155948906</v>
      </c>
      <c r="Q5">
        <f>SLOPE(P:P,O:O)</f>
        <v>4.0900854168944706E-2</v>
      </c>
      <c r="V5">
        <v>20.079999999999998</v>
      </c>
      <c r="W5">
        <f>AVERAGE(V:V)</f>
        <v>20.125999999999998</v>
      </c>
    </row>
    <row r="6" spans="1:23" ht="18" x14ac:dyDescent="0.35">
      <c r="A6" s="9"/>
      <c r="C6" s="10"/>
      <c r="H6" s="1"/>
      <c r="I6" s="9">
        <f t="shared" si="2"/>
        <v>30</v>
      </c>
      <c r="J6" s="9">
        <v>18.34</v>
      </c>
      <c r="K6" s="9">
        <f t="shared" si="1"/>
        <v>0.52359877559829882</v>
      </c>
      <c r="L6" s="9">
        <f t="shared" si="0"/>
        <v>0.75000000000000011</v>
      </c>
      <c r="O6" s="9">
        <v>18.34</v>
      </c>
      <c r="P6" s="9">
        <v>0.75000000000000011</v>
      </c>
      <c r="Q6" s="1" t="s">
        <v>41</v>
      </c>
      <c r="V6">
        <v>20.100000000000001</v>
      </c>
      <c r="W6" s="1" t="s">
        <v>40</v>
      </c>
    </row>
    <row r="7" spans="1:23" x14ac:dyDescent="0.25">
      <c r="A7" s="9">
        <v>59.45</v>
      </c>
      <c r="B7">
        <v>3.87</v>
      </c>
      <c r="C7" s="10">
        <f>1/SQRT(B7)</f>
        <v>0.50832856777534885</v>
      </c>
      <c r="H7" s="1"/>
      <c r="I7" s="9">
        <f t="shared" si="2"/>
        <v>40</v>
      </c>
      <c r="J7" s="9">
        <v>14.35</v>
      </c>
      <c r="K7" s="9">
        <f t="shared" si="1"/>
        <v>0.69813170079773179</v>
      </c>
      <c r="L7" s="9">
        <f t="shared" si="0"/>
        <v>0.58682408883346515</v>
      </c>
      <c r="O7" s="9">
        <v>14.35</v>
      </c>
      <c r="P7" s="9">
        <v>0.58682408883346515</v>
      </c>
      <c r="Q7" s="1" t="s">
        <v>17</v>
      </c>
      <c r="W7" s="1" t="s">
        <v>5</v>
      </c>
    </row>
    <row r="8" spans="1:23" x14ac:dyDescent="0.25">
      <c r="A8" s="9">
        <v>70</v>
      </c>
      <c r="B8">
        <v>2.85</v>
      </c>
      <c r="C8" s="10">
        <f>1/SQRT(B8)</f>
        <v>0.59234887775909228</v>
      </c>
      <c r="I8" s="9">
        <f t="shared" si="2"/>
        <v>50</v>
      </c>
      <c r="J8" s="9">
        <v>10.1</v>
      </c>
      <c r="K8" s="9">
        <f t="shared" si="1"/>
        <v>0.87266462599716477</v>
      </c>
      <c r="L8" s="9">
        <f t="shared" si="0"/>
        <v>0.41317591116653485</v>
      </c>
      <c r="O8" s="9">
        <v>10.1</v>
      </c>
      <c r="P8" s="9">
        <v>0.41317591116653485</v>
      </c>
      <c r="Q8">
        <f>INTERCEPT(P:P,O:O)</f>
        <v>-1.294221534897666E-5</v>
      </c>
      <c r="W8">
        <f>_xlfn.STDEV.S(V:V)</f>
        <v>3.9749213828703493E-2</v>
      </c>
    </row>
    <row r="9" spans="1:23" ht="18.75" x14ac:dyDescent="0.35">
      <c r="A9" s="9">
        <v>80.33</v>
      </c>
      <c r="B9">
        <v>2.19</v>
      </c>
      <c r="C9" s="10">
        <f>1/SQRT(B9)</f>
        <v>0.675737378399486</v>
      </c>
      <c r="H9" s="1"/>
      <c r="I9" s="9">
        <f t="shared" si="2"/>
        <v>60</v>
      </c>
      <c r="J9" s="9">
        <v>6.11</v>
      </c>
      <c r="K9" s="9">
        <f t="shared" si="1"/>
        <v>1.0471975511965976</v>
      </c>
      <c r="L9" s="9">
        <f t="shared" si="0"/>
        <v>0.25000000000000011</v>
      </c>
      <c r="O9" s="9">
        <v>6.11</v>
      </c>
      <c r="P9" s="9">
        <v>0.25000000000000011</v>
      </c>
      <c r="Q9" s="1" t="s">
        <v>53</v>
      </c>
      <c r="W9" s="1" t="s">
        <v>52</v>
      </c>
    </row>
    <row r="10" spans="1:23" x14ac:dyDescent="0.25">
      <c r="A10" s="9">
        <v>89.98</v>
      </c>
      <c r="B10">
        <v>1.73</v>
      </c>
      <c r="C10" s="10">
        <f>1/SQRT(B10)</f>
        <v>0.76028592126970562</v>
      </c>
      <c r="H10" s="1"/>
      <c r="I10" s="9">
        <f t="shared" si="2"/>
        <v>70</v>
      </c>
      <c r="J10" s="9">
        <v>2.86</v>
      </c>
      <c r="K10" s="9">
        <f t="shared" si="1"/>
        <v>1.2217304763960306</v>
      </c>
      <c r="L10" s="9">
        <f t="shared" si="0"/>
        <v>0.11697777844051105</v>
      </c>
      <c r="O10" s="9">
        <v>2.86</v>
      </c>
      <c r="P10" s="9">
        <v>0.11697777844051105</v>
      </c>
      <c r="Q10">
        <f>RSQ(P:P,O:O)</f>
        <v>0.99999995587937196</v>
      </c>
      <c r="W10" s="1" t="s">
        <v>5</v>
      </c>
    </row>
    <row r="11" spans="1:23" ht="18" x14ac:dyDescent="0.35">
      <c r="C11" s="11"/>
      <c r="I11" s="9">
        <f t="shared" si="2"/>
        <v>80</v>
      </c>
      <c r="J11" s="9">
        <v>0.74</v>
      </c>
      <c r="K11" s="9">
        <f t="shared" si="1"/>
        <v>1.3962634015954636</v>
      </c>
      <c r="L11" s="9">
        <f t="shared" si="0"/>
        <v>3.0153689607045831E-2</v>
      </c>
      <c r="O11" s="9">
        <v>0.74</v>
      </c>
      <c r="P11" s="9">
        <v>3.0153689607045831E-2</v>
      </c>
      <c r="Q11" s="1" t="s">
        <v>60</v>
      </c>
      <c r="W11">
        <f>W8/SQRT(W2)</f>
        <v>1.7776388834631139E-2</v>
      </c>
    </row>
    <row r="12" spans="1:23" x14ac:dyDescent="0.25">
      <c r="C12" s="11"/>
      <c r="I12" s="9">
        <f>I11+10</f>
        <v>90</v>
      </c>
      <c r="J12" s="9">
        <v>0</v>
      </c>
      <c r="K12" s="9">
        <f t="shared" si="1"/>
        <v>1.5707963267948966</v>
      </c>
      <c r="L12" s="9">
        <v>0</v>
      </c>
      <c r="O12" s="9">
        <v>0</v>
      </c>
      <c r="P12" s="9">
        <v>0</v>
      </c>
      <c r="Q12" s="1" t="s">
        <v>17</v>
      </c>
    </row>
    <row r="13" spans="1:23" x14ac:dyDescent="0.25">
      <c r="A13" s="9">
        <v>28.95</v>
      </c>
      <c r="B13">
        <v>8.64</v>
      </c>
      <c r="C13" s="10">
        <f>1/SQRT(B13)</f>
        <v>0.34020690871988585</v>
      </c>
      <c r="Q13">
        <f>STEYX(P:P,O:O)</f>
        <v>8.7081759714504822E-5</v>
      </c>
    </row>
    <row r="14" spans="1:23" ht="18" x14ac:dyDescent="0.35">
      <c r="Q14" s="1" t="s">
        <v>68</v>
      </c>
    </row>
    <row r="15" spans="1:23" x14ac:dyDescent="0.25">
      <c r="Q15" s="1" t="s">
        <v>17</v>
      </c>
    </row>
    <row r="16" spans="1:23" x14ac:dyDescent="0.25">
      <c r="Q16">
        <f>STEYX(P:P,O:O)*SQRT(COUNT(O:O)/(COUNT(O:O)*SUMSQ(O:O)-SUM(O:O)^2))</f>
        <v>3.0374436858576076E-6</v>
      </c>
    </row>
    <row r="17" spans="17:17" ht="18" x14ac:dyDescent="0.35">
      <c r="Q17" s="1" t="s">
        <v>75</v>
      </c>
    </row>
    <row r="18" spans="17:17" x14ac:dyDescent="0.25">
      <c r="Q18" s="1" t="s">
        <v>17</v>
      </c>
    </row>
    <row r="19" spans="17:17" x14ac:dyDescent="0.25">
      <c r="Q19">
        <f>STEYX(P:P,O:O)*SQRT(SUMSQ(O:O)/(COUNT(O:O)*SUMSQ(O:O)-SUM(O:O)^2))</f>
        <v>4.6229474799324593E-5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Q19" sqref="Q19"/>
    </sheetView>
  </sheetViews>
  <sheetFormatPr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16" t="s">
        <v>9</v>
      </c>
      <c r="B1" s="18"/>
      <c r="C1" s="1" t="s">
        <v>10</v>
      </c>
      <c r="D1" s="1" t="s">
        <v>11</v>
      </c>
      <c r="E1" s="16" t="s">
        <v>12</v>
      </c>
      <c r="F1" s="18"/>
      <c r="G1" s="1" t="s">
        <v>10</v>
      </c>
      <c r="H1" s="1" t="s">
        <v>13</v>
      </c>
      <c r="I1" s="1" t="s">
        <v>11</v>
      </c>
      <c r="K1" s="13" t="s">
        <v>14</v>
      </c>
      <c r="L1" s="14"/>
      <c r="M1" s="15"/>
      <c r="P1" s="20" t="s">
        <v>15</v>
      </c>
      <c r="Q1" s="21"/>
      <c r="R1" s="21"/>
      <c r="S1" s="22"/>
    </row>
    <row r="2" spans="1:22" ht="15.75" thickBot="1" x14ac:dyDescent="0.3">
      <c r="A2" s="20" t="s">
        <v>16</v>
      </c>
      <c r="B2" s="22"/>
      <c r="C2" s="1" t="s">
        <v>17</v>
      </c>
      <c r="D2">
        <f>COUNT(C:C)</f>
        <v>8</v>
      </c>
      <c r="E2" s="20" t="s">
        <v>18</v>
      </c>
      <c r="F2" s="22"/>
      <c r="G2" s="1" t="s">
        <v>17</v>
      </c>
      <c r="H2" s="1" t="s">
        <v>19</v>
      </c>
      <c r="I2">
        <f>IF(COUNT(G:G)=COUNT(H:H),COUNT(G:G), "Your numbers do not match!")</f>
        <v>14</v>
      </c>
      <c r="K2" t="s">
        <v>20</v>
      </c>
      <c r="P2" s="16" t="s">
        <v>21</v>
      </c>
      <c r="Q2" s="17"/>
      <c r="R2" s="17"/>
      <c r="S2" s="18"/>
    </row>
    <row r="3" spans="1:22" ht="15.75" thickBot="1" x14ac:dyDescent="0.3">
      <c r="B3" s="3" t="s">
        <v>22</v>
      </c>
      <c r="C3">
        <v>75.841372655993013</v>
      </c>
      <c r="D3" s="2" t="s">
        <v>23</v>
      </c>
      <c r="F3" s="3" t="s">
        <v>22</v>
      </c>
      <c r="G3">
        <v>-7</v>
      </c>
      <c r="H3">
        <v>4.0370950262279859</v>
      </c>
      <c r="I3" s="1" t="s">
        <v>24</v>
      </c>
      <c r="K3" s="13" t="s">
        <v>25</v>
      </c>
      <c r="L3" s="14"/>
      <c r="M3" s="15"/>
      <c r="P3" s="5" t="s">
        <v>26</v>
      </c>
      <c r="Q3" s="4" t="s">
        <v>26</v>
      </c>
      <c r="R3" s="5" t="s">
        <v>27</v>
      </c>
      <c r="S3" s="4" t="s">
        <v>27</v>
      </c>
      <c r="T3" s="13" t="s">
        <v>28</v>
      </c>
      <c r="U3" s="14"/>
      <c r="V3" s="15"/>
    </row>
    <row r="4" spans="1:22" x14ac:dyDescent="0.25">
      <c r="A4" s="6" t="s">
        <v>29</v>
      </c>
      <c r="B4" s="6"/>
      <c r="C4">
        <v>75.909404692323847</v>
      </c>
      <c r="D4" s="1" t="s">
        <v>17</v>
      </c>
      <c r="G4">
        <v>-6</v>
      </c>
      <c r="H4">
        <v>4.8774205884120025</v>
      </c>
      <c r="I4" s="1" t="s">
        <v>17</v>
      </c>
      <c r="K4" t="s">
        <v>30</v>
      </c>
      <c r="P4" s="5" t="s">
        <v>31</v>
      </c>
      <c r="Q4" s="4" t="s">
        <v>31</v>
      </c>
      <c r="R4" s="5" t="s">
        <v>32</v>
      </c>
      <c r="S4" s="4" t="s">
        <v>32</v>
      </c>
      <c r="T4" t="s">
        <v>33</v>
      </c>
    </row>
    <row r="5" spans="1:22" ht="15.75" thickBot="1" x14ac:dyDescent="0.3">
      <c r="A5" s="6" t="s">
        <v>34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35</v>
      </c>
      <c r="L5">
        <f>ABS(-76)</f>
        <v>76</v>
      </c>
      <c r="P5" s="5" t="s">
        <v>36</v>
      </c>
      <c r="Q5" s="4" t="s">
        <v>36</v>
      </c>
      <c r="R5" s="5" t="s">
        <v>37</v>
      </c>
      <c r="S5" s="4" t="s">
        <v>37</v>
      </c>
      <c r="T5" t="s">
        <v>38</v>
      </c>
    </row>
    <row r="6" spans="1:22" ht="18.75" thickBot="1" x14ac:dyDescent="0.4">
      <c r="A6" s="6" t="s">
        <v>39</v>
      </c>
      <c r="B6" s="7"/>
      <c r="C6">
        <v>76.765567972783728</v>
      </c>
      <c r="D6" s="1" t="s">
        <v>40</v>
      </c>
      <c r="G6">
        <v>-4</v>
      </c>
      <c r="H6">
        <v>7.0047465507883535</v>
      </c>
      <c r="I6" s="1" t="s">
        <v>41</v>
      </c>
      <c r="K6" s="13" t="s">
        <v>42</v>
      </c>
      <c r="L6" s="14"/>
      <c r="M6" s="15"/>
      <c r="P6" s="5" t="s">
        <v>43</v>
      </c>
      <c r="Q6" s="4" t="s">
        <v>43</v>
      </c>
      <c r="R6" s="5" t="s">
        <v>44</v>
      </c>
      <c r="S6" s="4" t="s">
        <v>44</v>
      </c>
      <c r="T6" t="s">
        <v>45</v>
      </c>
    </row>
    <row r="7" spans="1:22" x14ac:dyDescent="0.25">
      <c r="A7" s="7" t="s">
        <v>46</v>
      </c>
      <c r="C7">
        <v>74.900457841958314</v>
      </c>
      <c r="D7" s="1" t="s">
        <v>17</v>
      </c>
      <c r="G7">
        <v>-3</v>
      </c>
      <c r="H7">
        <v>7.5561750040750884</v>
      </c>
      <c r="I7" s="1" t="s">
        <v>17</v>
      </c>
      <c r="K7" t="s">
        <v>47</v>
      </c>
      <c r="P7" s="5" t="s">
        <v>48</v>
      </c>
      <c r="Q7" s="4" t="s">
        <v>48</v>
      </c>
      <c r="R7" s="5" t="s">
        <v>49</v>
      </c>
      <c r="S7" s="4" t="s">
        <v>49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35</v>
      </c>
      <c r="L8">
        <f>PI()</f>
        <v>3.1415926535897931</v>
      </c>
      <c r="P8" s="5" t="s">
        <v>50</v>
      </c>
      <c r="Q8" s="4" t="s">
        <v>50</v>
      </c>
      <c r="R8" s="5" t="s">
        <v>51</v>
      </c>
      <c r="S8" s="4" t="s">
        <v>51</v>
      </c>
    </row>
    <row r="9" spans="1:22" ht="19.5" thickBot="1" x14ac:dyDescent="0.4">
      <c r="C9">
        <v>77.399112005079715</v>
      </c>
      <c r="D9" s="1" t="s">
        <v>52</v>
      </c>
      <c r="G9">
        <v>-1</v>
      </c>
      <c r="H9">
        <v>10.520366828017425</v>
      </c>
      <c r="I9" s="1" t="s">
        <v>53</v>
      </c>
      <c r="K9" s="13" t="s">
        <v>54</v>
      </c>
      <c r="L9" s="14"/>
      <c r="M9" s="15"/>
      <c r="P9" s="5" t="s">
        <v>55</v>
      </c>
      <c r="Q9" s="4" t="s">
        <v>55</v>
      </c>
      <c r="R9" s="5" t="s">
        <v>56</v>
      </c>
      <c r="S9" s="4" t="s">
        <v>56</v>
      </c>
    </row>
    <row r="10" spans="1:22" x14ac:dyDescent="0.25">
      <c r="C10">
        <v>75.285165308579593</v>
      </c>
      <c r="D10" s="1" t="s">
        <v>17</v>
      </c>
      <c r="G10">
        <v>0</v>
      </c>
      <c r="H10">
        <v>11.409684720206235</v>
      </c>
      <c r="I10">
        <f>RSQ(H:H,G:G)</f>
        <v>0.99068377098326721</v>
      </c>
      <c r="K10" t="s">
        <v>57</v>
      </c>
      <c r="P10" s="5" t="s">
        <v>58</v>
      </c>
      <c r="Q10" s="4" t="s">
        <v>58</v>
      </c>
      <c r="R10" s="5" t="s">
        <v>59</v>
      </c>
      <c r="S10" s="4" t="s">
        <v>59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60</v>
      </c>
      <c r="K11" t="s">
        <v>35</v>
      </c>
      <c r="L11">
        <f>$G3</f>
        <v>-7</v>
      </c>
      <c r="M11">
        <f>$G3</f>
        <v>-7</v>
      </c>
      <c r="P11" s="5" t="s">
        <v>61</v>
      </c>
      <c r="Q11" s="4" t="s">
        <v>61</v>
      </c>
      <c r="R11" s="5" t="s">
        <v>1</v>
      </c>
      <c r="S11" s="4" t="s">
        <v>1</v>
      </c>
    </row>
    <row r="12" spans="1:22" x14ac:dyDescent="0.25">
      <c r="G12">
        <v>2</v>
      </c>
      <c r="H12">
        <v>13.632746451992071</v>
      </c>
      <c r="I12" s="1" t="s">
        <v>17</v>
      </c>
      <c r="L12">
        <f>$G4</f>
        <v>-6</v>
      </c>
      <c r="M12">
        <f>$G4</f>
        <v>-6</v>
      </c>
      <c r="P12" s="5" t="s">
        <v>62</v>
      </c>
      <c r="Q12" s="4" t="s">
        <v>62</v>
      </c>
      <c r="R12" s="5" t="s">
        <v>63</v>
      </c>
      <c r="S12" s="4" t="s">
        <v>63</v>
      </c>
    </row>
    <row r="13" spans="1:22" x14ac:dyDescent="0.25">
      <c r="C13" s="19" t="s">
        <v>64</v>
      </c>
      <c r="G13">
        <v>3</v>
      </c>
      <c r="H13">
        <v>14.774417429235491</v>
      </c>
      <c r="I13">
        <f>STEYX(H:H,G:G)</f>
        <v>0.43486665904435412</v>
      </c>
      <c r="K13" t="s">
        <v>65</v>
      </c>
      <c r="P13" s="5" t="s">
        <v>66</v>
      </c>
      <c r="Q13" s="4" t="s">
        <v>66</v>
      </c>
      <c r="R13" s="5" t="s">
        <v>67</v>
      </c>
      <c r="S13" s="4" t="s">
        <v>67</v>
      </c>
    </row>
    <row r="14" spans="1:22" ht="18" customHeight="1" x14ac:dyDescent="0.35">
      <c r="C14" s="19"/>
      <c r="G14">
        <v>4</v>
      </c>
      <c r="H14">
        <v>14.696705397075091</v>
      </c>
      <c r="I14" s="1" t="s">
        <v>68</v>
      </c>
      <c r="K14" t="s">
        <v>35</v>
      </c>
      <c r="L14">
        <f>G$3</f>
        <v>-7</v>
      </c>
      <c r="M14">
        <f>H$3</f>
        <v>4.0370950262279859</v>
      </c>
      <c r="P14" s="5" t="s">
        <v>69</v>
      </c>
      <c r="Q14" s="4" t="s">
        <v>69</v>
      </c>
      <c r="R14" s="5" t="s">
        <v>70</v>
      </c>
      <c r="S14" s="4" t="s">
        <v>70</v>
      </c>
    </row>
    <row r="15" spans="1:22" x14ac:dyDescent="0.25">
      <c r="C15" s="19"/>
      <c r="G15">
        <v>5</v>
      </c>
      <c r="H15">
        <v>15.874658660285826</v>
      </c>
      <c r="I15" s="1" t="s">
        <v>17</v>
      </c>
      <c r="L15">
        <f>G$3</f>
        <v>-7</v>
      </c>
      <c r="M15">
        <f>H$3</f>
        <v>4.0370950262279859</v>
      </c>
      <c r="P15" s="5" t="s">
        <v>71</v>
      </c>
      <c r="Q15" s="4" t="s">
        <v>71</v>
      </c>
      <c r="R15" s="5" t="s">
        <v>72</v>
      </c>
      <c r="S15" s="4" t="s">
        <v>72</v>
      </c>
    </row>
    <row r="16" spans="1:22" x14ac:dyDescent="0.25">
      <c r="C16" s="19"/>
      <c r="G16">
        <v>6</v>
      </c>
      <c r="H16">
        <v>17.500884639387159</v>
      </c>
      <c r="I16">
        <f>I13*SQRT(I2/(I2*SUMSQ(G:G)-SUM(G:G)^2))</f>
        <v>2.8831378750456965E-2</v>
      </c>
      <c r="K16" t="s">
        <v>73</v>
      </c>
      <c r="P16" s="5" t="s">
        <v>74</v>
      </c>
      <c r="Q16" s="4" t="s">
        <v>74</v>
      </c>
      <c r="R16" s="5" t="s">
        <v>11</v>
      </c>
      <c r="S16" s="4" t="s">
        <v>11</v>
      </c>
    </row>
    <row r="17" spans="1:19" ht="18" x14ac:dyDescent="0.35">
      <c r="I17" s="1" t="s">
        <v>75</v>
      </c>
      <c r="K17" t="s">
        <v>35</v>
      </c>
      <c r="L17">
        <f>$G$3</f>
        <v>-7</v>
      </c>
      <c r="M17">
        <f>$G$3</f>
        <v>-7</v>
      </c>
      <c r="P17" s="5" t="s">
        <v>76</v>
      </c>
      <c r="Q17" s="4" t="s">
        <v>76</v>
      </c>
      <c r="R17" s="5" t="s">
        <v>77</v>
      </c>
      <c r="S17" s="4" t="s">
        <v>77</v>
      </c>
    </row>
    <row r="18" spans="1:19" ht="15" customHeight="1" x14ac:dyDescent="0.25">
      <c r="B18" s="8"/>
      <c r="C18" s="8"/>
      <c r="D18" s="8"/>
      <c r="I18" s="1" t="s">
        <v>17</v>
      </c>
      <c r="L18">
        <f>$G$3</f>
        <v>-7</v>
      </c>
      <c r="M18">
        <f>$G$3</f>
        <v>-7</v>
      </c>
      <c r="P18" s="5" t="s">
        <v>78</v>
      </c>
      <c r="Q18" s="4" t="s">
        <v>78</v>
      </c>
      <c r="R18" s="5" t="s">
        <v>79</v>
      </c>
      <c r="S18" s="4" t="s">
        <v>79</v>
      </c>
    </row>
    <row r="19" spans="1:19" ht="15" customHeight="1" x14ac:dyDescent="0.25">
      <c r="A19" s="12" t="s">
        <v>80</v>
      </c>
      <c r="B19" s="12"/>
      <c r="C19" s="12"/>
      <c r="D19" s="12"/>
      <c r="G19" s="19" t="s">
        <v>81</v>
      </c>
      <c r="H19" s="19"/>
      <c r="I19">
        <f>I13*SQRT(SUMSQ(G:G)/(I2*SUMSQ(G:G)-SUM(G:G)^2))</f>
        <v>0.11711361411365875</v>
      </c>
      <c r="P19" s="5" t="s">
        <v>82</v>
      </c>
      <c r="Q19" s="4" t="s">
        <v>82</v>
      </c>
      <c r="R19" s="5" t="s">
        <v>83</v>
      </c>
      <c r="S19" s="4" t="s">
        <v>83</v>
      </c>
    </row>
    <row r="20" spans="1:19" ht="15.75" thickBot="1" x14ac:dyDescent="0.3">
      <c r="A20" s="12"/>
      <c r="B20" s="12"/>
      <c r="C20" s="12"/>
      <c r="D20" s="12"/>
      <c r="G20" s="19"/>
      <c r="H20" s="19"/>
      <c r="P20" s="5" t="s">
        <v>0</v>
      </c>
      <c r="Q20" s="4" t="s">
        <v>0</v>
      </c>
      <c r="R20" s="5" t="s">
        <v>84</v>
      </c>
      <c r="S20" s="4" t="s">
        <v>84</v>
      </c>
    </row>
    <row r="21" spans="1:19" ht="15.75" thickBot="1" x14ac:dyDescent="0.3">
      <c r="A21" s="12"/>
      <c r="B21" s="12"/>
      <c r="C21" s="12"/>
      <c r="D21" s="12"/>
      <c r="I21" s="13" t="s">
        <v>85</v>
      </c>
      <c r="J21" s="14"/>
      <c r="K21" s="15"/>
      <c r="P21" s="5" t="s">
        <v>86</v>
      </c>
      <c r="Q21" s="4" t="s">
        <v>86</v>
      </c>
      <c r="R21" s="5" t="s">
        <v>87</v>
      </c>
      <c r="S21" s="4" t="s">
        <v>87</v>
      </c>
    </row>
    <row r="22" spans="1:19" x14ac:dyDescent="0.25">
      <c r="A22" s="12"/>
      <c r="B22" s="12"/>
      <c r="C22" s="12"/>
      <c r="D22" s="12"/>
      <c r="I22" t="s">
        <v>88</v>
      </c>
      <c r="P22" s="5" t="s">
        <v>89</v>
      </c>
      <c r="Q22" s="4" t="s">
        <v>89</v>
      </c>
      <c r="R22" s="5" t="s">
        <v>90</v>
      </c>
      <c r="S22" s="4" t="s">
        <v>90</v>
      </c>
    </row>
    <row r="23" spans="1:19" x14ac:dyDescent="0.25">
      <c r="A23" s="12"/>
      <c r="B23" s="12"/>
      <c r="C23" s="12"/>
      <c r="D23" s="12"/>
      <c r="I23" t="s">
        <v>91</v>
      </c>
      <c r="P23" s="5" t="s">
        <v>92</v>
      </c>
      <c r="Q23" s="4" t="s">
        <v>92</v>
      </c>
      <c r="R23" s="5" t="s">
        <v>93</v>
      </c>
      <c r="S23" s="4" t="s">
        <v>93</v>
      </c>
    </row>
    <row r="24" spans="1:19" x14ac:dyDescent="0.25">
      <c r="A24" t="s">
        <v>94</v>
      </c>
      <c r="I24" t="s">
        <v>95</v>
      </c>
      <c r="P24" s="5" t="s">
        <v>96</v>
      </c>
      <c r="Q24" s="4" t="s">
        <v>96</v>
      </c>
      <c r="R24" s="5" t="s">
        <v>97</v>
      </c>
      <c r="S24" s="4" t="s">
        <v>97</v>
      </c>
    </row>
    <row r="25" spans="1:19" x14ac:dyDescent="0.25">
      <c r="A25" t="s">
        <v>98</v>
      </c>
      <c r="I25" t="s">
        <v>99</v>
      </c>
      <c r="P25" s="5" t="s">
        <v>100</v>
      </c>
      <c r="Q25" s="4" t="s">
        <v>100</v>
      </c>
      <c r="R25" s="5" t="s">
        <v>101</v>
      </c>
      <c r="S25" s="4" t="s">
        <v>101</v>
      </c>
    </row>
    <row r="26" spans="1:19" x14ac:dyDescent="0.25">
      <c r="A26" t="s">
        <v>102</v>
      </c>
      <c r="P26" s="5" t="s">
        <v>10</v>
      </c>
      <c r="Q26" s="4" t="s">
        <v>10</v>
      </c>
      <c r="R26" s="5" t="s">
        <v>103</v>
      </c>
      <c r="S26" s="4" t="s">
        <v>103</v>
      </c>
    </row>
    <row r="27" spans="1:19" x14ac:dyDescent="0.25">
      <c r="P27" s="5" t="s">
        <v>13</v>
      </c>
      <c r="Q27" s="4" t="s">
        <v>13</v>
      </c>
      <c r="R27" s="5" t="s">
        <v>104</v>
      </c>
      <c r="S27" s="4" t="s">
        <v>104</v>
      </c>
    </row>
    <row r="28" spans="1:19" x14ac:dyDescent="0.25">
      <c r="A28" t="s">
        <v>105</v>
      </c>
      <c r="P28" s="5" t="s">
        <v>106</v>
      </c>
      <c r="Q28" s="4" t="s">
        <v>106</v>
      </c>
      <c r="R28" s="5" t="s">
        <v>107</v>
      </c>
      <c r="S28" s="4" t="s">
        <v>107</v>
      </c>
    </row>
    <row r="29" spans="1:19" x14ac:dyDescent="0.25">
      <c r="A29" t="s">
        <v>108</v>
      </c>
    </row>
    <row r="35" spans="9:9" x14ac:dyDescent="0.25">
      <c r="I35" t="s">
        <v>109</v>
      </c>
    </row>
    <row r="36" spans="9:9" ht="17.25" x14ac:dyDescent="0.25">
      <c r="I36" t="s">
        <v>110</v>
      </c>
    </row>
    <row r="46" spans="9:9" x14ac:dyDescent="0.25">
      <c r="I46" t="s">
        <v>111</v>
      </c>
    </row>
    <row r="47" spans="9:9" x14ac:dyDescent="0.25">
      <c r="I47" t="s">
        <v>112</v>
      </c>
    </row>
    <row r="48" spans="9:9" x14ac:dyDescent="0.25">
      <c r="I48" t="s">
        <v>113</v>
      </c>
    </row>
    <row r="49" spans="9:9" x14ac:dyDescent="0.25">
      <c r="I49" t="s">
        <v>114</v>
      </c>
    </row>
    <row r="59" spans="9:9" x14ac:dyDescent="0.25">
      <c r="I59" t="s">
        <v>115</v>
      </c>
    </row>
    <row r="60" spans="9:9" x14ac:dyDescent="0.25">
      <c r="I60" t="s">
        <v>116</v>
      </c>
    </row>
    <row r="61" spans="9:9" x14ac:dyDescent="0.25">
      <c r="I61" t="s">
        <v>117</v>
      </c>
    </row>
    <row r="71" spans="9:16" x14ac:dyDescent="0.25">
      <c r="I71" t="s">
        <v>118</v>
      </c>
      <c r="M71" s="1" t="s">
        <v>10</v>
      </c>
      <c r="N71" s="1" t="s">
        <v>92</v>
      </c>
    </row>
    <row r="72" spans="9:16" x14ac:dyDescent="0.25">
      <c r="I72" t="s">
        <v>119</v>
      </c>
      <c r="M72" s="1" t="s">
        <v>17</v>
      </c>
      <c r="N72" s="1" t="s">
        <v>19</v>
      </c>
    </row>
    <row r="73" spans="9:16" x14ac:dyDescent="0.25">
      <c r="I73" t="s">
        <v>120</v>
      </c>
      <c r="M73">
        <v>-2</v>
      </c>
      <c r="N73">
        <v>2.1016753937718446</v>
      </c>
      <c r="O73" t="s">
        <v>121</v>
      </c>
      <c r="P73" t="s">
        <v>122</v>
      </c>
    </row>
    <row r="74" spans="9:16" x14ac:dyDescent="0.25">
      <c r="I74" t="s">
        <v>123</v>
      </c>
      <c r="M74">
        <v>-1</v>
      </c>
      <c r="N74">
        <v>0.84031349029360847</v>
      </c>
    </row>
    <row r="75" spans="9:16" x14ac:dyDescent="0.25">
      <c r="I75" t="s">
        <v>124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125</v>
      </c>
    </row>
    <row r="92" spans="9:9" x14ac:dyDescent="0.25">
      <c r="I92" t="s">
        <v>126</v>
      </c>
    </row>
    <row r="93" spans="9:9" x14ac:dyDescent="0.25">
      <c r="I93" t="s">
        <v>127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 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2020-07-22T03:09:57Z</dcterms:modified>
  <cp:category/>
  <cp:contentStatus/>
</cp:coreProperties>
</file>