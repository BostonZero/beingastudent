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dcafb4ad420cef1/College Work/phys2lab/lab 8 - resonance/"/>
    </mc:Choice>
  </mc:AlternateContent>
  <xr:revisionPtr revIDLastSave="432" documentId="8_{4604F09F-D5B2-4ABF-A35E-E6DE17BA252E}" xr6:coauthVersionLast="45" xr6:coauthVersionMax="45" xr10:uidLastSave="{3CA543F9-F99C-4E4F-BA09-1CF9C08BC7AC}"/>
  <bookViews>
    <workbookView xWindow="18150" yWindow="5925" windowWidth="22620" windowHeight="21465" xr2:uid="{00000000-000D-0000-FFFF-FFFF00000000}"/>
  </bookViews>
  <sheets>
    <sheet name="Sheet1" sheetId="9" r:id="rId1"/>
    <sheet name="Sheet3" sheetId="11" r:id="rId2"/>
    <sheet name="Help Sheet" sheetId="5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2" i="9" l="1"/>
  <c r="R11" i="9"/>
  <c r="R10" i="9"/>
  <c r="Q12" i="9"/>
  <c r="Q11" i="9"/>
  <c r="Q10" i="9"/>
  <c r="Q2" i="9"/>
  <c r="M2" i="9"/>
  <c r="L3" i="9" l="1"/>
  <c r="L4" i="9"/>
  <c r="L2" i="9"/>
  <c r="M3" i="9"/>
  <c r="M4" i="9"/>
  <c r="O19" i="9" l="1"/>
  <c r="O10" i="9"/>
  <c r="O2" i="9"/>
  <c r="O13" i="9"/>
  <c r="O16" i="9"/>
  <c r="O5" i="9"/>
  <c r="R2" i="9" s="1"/>
  <c r="O8" i="9"/>
  <c r="I3" i="9"/>
  <c r="H4" i="9"/>
  <c r="I4" i="9" s="1"/>
  <c r="F4" i="9"/>
  <c r="F5" i="9" s="1"/>
  <c r="G5" i="9" s="1"/>
  <c r="D4" i="9"/>
  <c r="E4" i="9" s="1"/>
  <c r="Q4" i="9" l="1"/>
  <c r="H5" i="9"/>
  <c r="H6" i="9" s="1"/>
  <c r="H7" i="9" s="1"/>
  <c r="G3" i="9"/>
  <c r="G4" i="9"/>
  <c r="E3" i="9"/>
  <c r="F6" i="9"/>
  <c r="G6" i="9" s="1"/>
  <c r="D5" i="9"/>
  <c r="E5" i="9" s="1"/>
  <c r="I6" i="9" l="1"/>
  <c r="I5" i="9"/>
  <c r="H8" i="9"/>
  <c r="I7" i="9"/>
  <c r="F7" i="9"/>
  <c r="G7" i="9" s="1"/>
  <c r="D6" i="9"/>
  <c r="E6" i="9" s="1"/>
  <c r="H9" i="9" l="1"/>
  <c r="I8" i="9"/>
  <c r="F8" i="9"/>
  <c r="G8" i="9" s="1"/>
  <c r="D7" i="9"/>
  <c r="E7" i="9" s="1"/>
  <c r="L5" i="5"/>
  <c r="H10" i="9" l="1"/>
  <c r="I9" i="9"/>
  <c r="F9" i="9"/>
  <c r="G9" i="9" s="1"/>
  <c r="D8" i="9"/>
  <c r="E8" i="9" s="1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H11" i="9" l="1"/>
  <c r="I10" i="9"/>
  <c r="F10" i="9"/>
  <c r="G10" i="9" s="1"/>
  <c r="D9" i="9"/>
  <c r="E9" i="9" s="1"/>
  <c r="D5" i="5"/>
  <c r="D8" i="5"/>
  <c r="I13" i="5"/>
  <c r="I10" i="5"/>
  <c r="I8" i="5"/>
  <c r="I5" i="5"/>
  <c r="I2" i="5"/>
  <c r="D2" i="5"/>
  <c r="H12" i="9" l="1"/>
  <c r="I11" i="9"/>
  <c r="F11" i="9"/>
  <c r="G11" i="9" s="1"/>
  <c r="D10" i="9"/>
  <c r="E10" i="9" s="1"/>
  <c r="I16" i="5"/>
  <c r="I19" i="5"/>
  <c r="D11" i="5"/>
  <c r="H13" i="9" l="1"/>
  <c r="I12" i="9"/>
  <c r="F12" i="9"/>
  <c r="G12" i="9" s="1"/>
  <c r="D11" i="9"/>
  <c r="E11" i="9" s="1"/>
  <c r="H14" i="9" l="1"/>
  <c r="I13" i="9"/>
  <c r="F13" i="9"/>
  <c r="G13" i="9" s="1"/>
  <c r="D12" i="9"/>
  <c r="E12" i="9" s="1"/>
  <c r="H15" i="9" l="1"/>
  <c r="I14" i="9"/>
  <c r="F14" i="9"/>
  <c r="G14" i="9" s="1"/>
  <c r="D13" i="9"/>
  <c r="E13" i="9" s="1"/>
  <c r="H16" i="9" l="1"/>
  <c r="I15" i="9"/>
  <c r="F15" i="9"/>
  <c r="G15" i="9" s="1"/>
  <c r="D14" i="9"/>
  <c r="E14" i="9" s="1"/>
  <c r="H17" i="9" l="1"/>
  <c r="I16" i="9"/>
  <c r="F16" i="9"/>
  <c r="G16" i="9" s="1"/>
  <c r="D15" i="9"/>
  <c r="E15" i="9" s="1"/>
  <c r="H18" i="9" l="1"/>
  <c r="I17" i="9"/>
  <c r="F17" i="9"/>
  <c r="G17" i="9" s="1"/>
  <c r="D16" i="9"/>
  <c r="E16" i="9" s="1"/>
  <c r="H19" i="9" l="1"/>
  <c r="I18" i="9"/>
  <c r="F18" i="9"/>
  <c r="G18" i="9" s="1"/>
  <c r="D17" i="9"/>
  <c r="E17" i="9" s="1"/>
  <c r="H20" i="9" l="1"/>
  <c r="I19" i="9"/>
  <c r="F19" i="9"/>
  <c r="G19" i="9" s="1"/>
  <c r="D18" i="9"/>
  <c r="E18" i="9" s="1"/>
  <c r="H21" i="9" l="1"/>
  <c r="I20" i="9"/>
  <c r="F20" i="9"/>
  <c r="G20" i="9" s="1"/>
  <c r="D19" i="9"/>
  <c r="E19" i="9" s="1"/>
  <c r="H22" i="9" l="1"/>
  <c r="I21" i="9"/>
  <c r="F21" i="9"/>
  <c r="G21" i="9" s="1"/>
  <c r="D20" i="9"/>
  <c r="E20" i="9" s="1"/>
  <c r="H23" i="9" l="1"/>
  <c r="I22" i="9"/>
  <c r="F22" i="9"/>
  <c r="G22" i="9" s="1"/>
  <c r="D21" i="9"/>
  <c r="E21" i="9" s="1"/>
  <c r="H24" i="9" l="1"/>
  <c r="I23" i="9"/>
  <c r="F23" i="9"/>
  <c r="G23" i="9" s="1"/>
  <c r="D22" i="9"/>
  <c r="E22" i="9" s="1"/>
  <c r="H25" i="9" l="1"/>
  <c r="I24" i="9"/>
  <c r="F24" i="9"/>
  <c r="G24" i="9" s="1"/>
  <c r="D23" i="9"/>
  <c r="E23" i="9" s="1"/>
  <c r="H26" i="9" l="1"/>
  <c r="I25" i="9"/>
  <c r="F25" i="9"/>
  <c r="G25" i="9" s="1"/>
  <c r="D24" i="9"/>
  <c r="E24" i="9" s="1"/>
  <c r="H27" i="9" l="1"/>
  <c r="I26" i="9"/>
  <c r="F26" i="9"/>
  <c r="G26" i="9" s="1"/>
  <c r="D25" i="9"/>
  <c r="E25" i="9" s="1"/>
  <c r="H28" i="9" l="1"/>
  <c r="I27" i="9"/>
  <c r="F27" i="9"/>
  <c r="G27" i="9" s="1"/>
  <c r="D26" i="9"/>
  <c r="E26" i="9" s="1"/>
  <c r="H29" i="9" l="1"/>
  <c r="I28" i="9"/>
  <c r="F28" i="9"/>
  <c r="G28" i="9" s="1"/>
  <c r="D27" i="9"/>
  <c r="E27" i="9" s="1"/>
  <c r="H30" i="9" l="1"/>
  <c r="I29" i="9"/>
  <c r="F29" i="9"/>
  <c r="G29" i="9" s="1"/>
  <c r="D28" i="9"/>
  <c r="E28" i="9" s="1"/>
  <c r="H31" i="9" l="1"/>
  <c r="I30" i="9"/>
  <c r="F30" i="9"/>
  <c r="G30" i="9" s="1"/>
  <c r="D29" i="9"/>
  <c r="E29" i="9" s="1"/>
  <c r="H32" i="9" l="1"/>
  <c r="I31" i="9"/>
  <c r="F31" i="9"/>
  <c r="G31" i="9" s="1"/>
  <c r="D30" i="9"/>
  <c r="E30" i="9" s="1"/>
  <c r="H33" i="9" l="1"/>
  <c r="I32" i="9"/>
  <c r="F32" i="9"/>
  <c r="G32" i="9" s="1"/>
  <c r="D31" i="9"/>
  <c r="E31" i="9" s="1"/>
  <c r="H34" i="9" l="1"/>
  <c r="I33" i="9"/>
  <c r="F33" i="9"/>
  <c r="G33" i="9" s="1"/>
  <c r="D32" i="9"/>
  <c r="E32" i="9" s="1"/>
  <c r="H35" i="9" l="1"/>
  <c r="I34" i="9"/>
  <c r="F34" i="9"/>
  <c r="G34" i="9" s="1"/>
  <c r="D33" i="9"/>
  <c r="E33" i="9" s="1"/>
  <c r="H36" i="9" l="1"/>
  <c r="I35" i="9"/>
  <c r="F35" i="9"/>
  <c r="G35" i="9" s="1"/>
  <c r="D34" i="9"/>
  <c r="E34" i="9" s="1"/>
  <c r="H37" i="9" l="1"/>
  <c r="I36" i="9"/>
  <c r="F36" i="9"/>
  <c r="G36" i="9" s="1"/>
  <c r="D35" i="9"/>
  <c r="E35" i="9" s="1"/>
  <c r="H38" i="9" l="1"/>
  <c r="I37" i="9"/>
  <c r="F37" i="9"/>
  <c r="G37" i="9" s="1"/>
  <c r="D36" i="9"/>
  <c r="E36" i="9" s="1"/>
  <c r="H39" i="9" l="1"/>
  <c r="I39" i="9" s="1"/>
  <c r="I38" i="9"/>
  <c r="F38" i="9"/>
  <c r="G38" i="9" s="1"/>
  <c r="D37" i="9"/>
  <c r="E37" i="9" s="1"/>
  <c r="F39" i="9" l="1"/>
  <c r="G39" i="9" s="1"/>
  <c r="D38" i="9"/>
  <c r="E38" i="9" s="1"/>
  <c r="D39" i="9" l="1"/>
  <c r="E39" i="9" s="1"/>
</calcChain>
</file>

<file path=xl/sharedStrings.xml><?xml version="1.0" encoding="utf-8"?>
<sst xmlns="http://schemas.openxmlformats.org/spreadsheetml/2006/main" count="233" uniqueCount="141">
  <si>
    <t>m</t>
  </si>
  <si>
    <t>V</t>
  </si>
  <si>
    <t>1D Stats</t>
  </si>
  <si>
    <t>r</t>
  </si>
  <si>
    <t>N</t>
  </si>
  <si>
    <t>2D Stats</t>
  </si>
  <si>
    <t>slope</t>
  </si>
  <si>
    <t>intercept</t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</si>
  <si>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</si>
  <si>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</si>
  <si>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</si>
  <si>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r>
      <t>`</t>
    </r>
    <r>
      <rPr>
        <b/>
        <sz val="11"/>
        <color theme="1"/>
        <rFont val="Calibri"/>
        <family val="2"/>
        <scheme val="minor"/>
      </rPr>
      <t>x</t>
    </r>
  </si>
  <si>
    <t>(units)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</si>
  <si>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</si>
  <si>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</si>
  <si>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f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</si>
  <si>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</si>
  <si>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t</t>
  </si>
  <si>
    <t>y</t>
  </si>
  <si>
    <t>a</t>
  </si>
  <si>
    <t>A</t>
  </si>
  <si>
    <t>b</t>
  </si>
  <si>
    <t>B</t>
  </si>
  <si>
    <t>C</t>
  </si>
  <si>
    <t>c</t>
  </si>
  <si>
    <t>d</t>
  </si>
  <si>
    <t>D</t>
  </si>
  <si>
    <t>e</t>
  </si>
  <si>
    <t>E</t>
  </si>
  <si>
    <t>g</t>
  </si>
  <si>
    <t>G</t>
  </si>
  <si>
    <t>F</t>
  </si>
  <si>
    <t>h</t>
  </si>
  <si>
    <t>H</t>
  </si>
  <si>
    <t>i</t>
  </si>
  <si>
    <t>I</t>
  </si>
  <si>
    <t>J</t>
  </si>
  <si>
    <t>k</t>
  </si>
  <si>
    <t>K</t>
  </si>
  <si>
    <t>j</t>
  </si>
  <si>
    <t>n</t>
  </si>
  <si>
    <t>o</t>
  </si>
  <si>
    <t>p</t>
  </si>
  <si>
    <t>q</t>
  </si>
  <si>
    <t>s</t>
  </si>
  <si>
    <t>u</t>
  </si>
  <si>
    <t>v</t>
  </si>
  <si>
    <t>w</t>
  </si>
  <si>
    <t>x</t>
  </si>
  <si>
    <t>z</t>
  </si>
  <si>
    <t>l</t>
  </si>
  <si>
    <t>L</t>
  </si>
  <si>
    <t>M</t>
  </si>
  <si>
    <t>O</t>
  </si>
  <si>
    <t>P</t>
  </si>
  <si>
    <t>Q</t>
  </si>
  <si>
    <t>R</t>
  </si>
  <si>
    <t>S</t>
  </si>
  <si>
    <t>T</t>
  </si>
  <si>
    <t>U</t>
  </si>
  <si>
    <t>W</t>
  </si>
  <si>
    <t>X</t>
  </si>
  <si>
    <t>Y</t>
  </si>
  <si>
    <t>Z</t>
  </si>
  <si>
    <t xml:space="preserve">Latin to Greek </t>
  </si>
  <si>
    <t xml:space="preserve">Ctrl+Shift+D  </t>
  </si>
  <si>
    <t>Example</t>
  </si>
  <si>
    <t>(stinu)</t>
  </si>
  <si>
    <t>Ctrl+Shift+V</t>
  </si>
  <si>
    <t>How to Make a 2D linear Graph</t>
  </si>
  <si>
    <t>Select data, independent variable on left</t>
  </si>
  <si>
    <t>Insert--&gt;Scatter--&gt;Scatter with only Markers</t>
  </si>
  <si>
    <t>Click graph--&gt;Design--&gt;Chart Layout--&gt;Layout 1</t>
  </si>
  <si>
    <t>Label Title and axes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</si>
  <si>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</si>
  <si>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</si>
  <si>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</si>
  <si>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</si>
  <si>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</si>
  <si>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</si>
  <si>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</si>
  <si>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</si>
  <si>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</si>
  <si>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</si>
  <si>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Enter data</t>
  </si>
  <si>
    <t>click graph--&gt;Layout--&gt;Legend</t>
  </si>
  <si>
    <t>Series Namefor Legend, or edit data later</t>
  </si>
  <si>
    <t>Right Click graph, select data--&gt;Add</t>
  </si>
  <si>
    <t>If using for Lab Report, CHANGE VARIABLES LAST</t>
  </si>
  <si>
    <t>Notice in this graph, only change is the bottom "y" to "u"</t>
  </si>
  <si>
    <t>Now F9 changes data, top equation changes but bottom doesn't anymore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</si>
  <si>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</si>
  <si>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</si>
  <si>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>Highlight, right click, Format Cells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</si>
  <si>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</si>
  <si>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 xml:space="preserve">Type "`" before the letter 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</si>
  <si>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</si>
  <si>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</si>
  <si>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(the key above "Tab" and below "Esc")</t>
  </si>
  <si>
    <t xml:space="preserve"> in the cells if</t>
  </si>
  <si>
    <t>you prefer to not</t>
  </si>
  <si>
    <t>(The codes are</t>
  </si>
  <si>
    <t>NORM.INV(RAND(),76, 1)</t>
  </si>
  <si>
    <t>How 1D data was created in column C</t>
  </si>
  <si>
    <t>How 2D data was created in column H</t>
  </si>
  <si>
    <t>NORM.INV(RAND(),4+G3+7,0.5)</t>
  </si>
  <si>
    <t>NORM.INV(RAND(),-M73,0.5)</t>
  </si>
  <si>
    <t>&lt;----------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</si>
  <si>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</si>
  <si>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Type "pi()" with nothing in the parentheses</t>
  </si>
  <si>
    <t>Example:</t>
  </si>
  <si>
    <t>No extra numbers in this column</t>
  </si>
  <si>
    <t>No extra numbers in these columns</t>
  </si>
  <si>
    <t>Absolute references</t>
  </si>
  <si>
    <t>"$" before letter to protect left-right</t>
  </si>
  <si>
    <t>"$" before number to protect up-down</t>
  </si>
  <si>
    <t>"$" in both places to protect all four directions</t>
  </si>
  <si>
    <t>For the curious: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</si>
  <si>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</si>
  <si>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Absolute Value</t>
  </si>
  <si>
    <t xml:space="preserve"> "=abs()" with number in parentheses</t>
  </si>
  <si>
    <r>
      <t>C</t>
    </r>
    <r>
      <rPr>
        <vertAlign val="subscript"/>
        <sz val="16"/>
        <color theme="1"/>
        <rFont val="Calibri (Body)"/>
      </rPr>
      <t>1,dm</t>
    </r>
    <r>
      <rPr>
        <sz val="16"/>
        <color theme="1"/>
        <rFont val="Calibri"/>
        <family val="2"/>
        <scheme val="minor"/>
      </rPr>
      <t xml:space="preserve"> (μF)</t>
    </r>
  </si>
  <si>
    <r>
      <rPr>
        <i/>
        <sz val="16"/>
        <color theme="1"/>
        <rFont val="Calibri"/>
        <family val="2"/>
        <scheme val="minor"/>
      </rPr>
      <t>f</t>
    </r>
    <r>
      <rPr>
        <vertAlign val="subscript"/>
        <sz val="16"/>
        <color theme="1"/>
        <rFont val="Calibri (Body)"/>
      </rPr>
      <t>0</t>
    </r>
    <r>
      <rPr>
        <sz val="16"/>
        <color theme="1"/>
        <rFont val="Calibri"/>
        <family val="2"/>
        <scheme val="minor"/>
      </rPr>
      <t xml:space="preserve"> (Hz)</t>
    </r>
  </si>
  <si>
    <r>
      <t>L</t>
    </r>
    <r>
      <rPr>
        <vertAlign val="subscript"/>
        <sz val="16"/>
        <color theme="1"/>
        <rFont val="Calibri (Body)"/>
      </rPr>
      <t xml:space="preserve">exp </t>
    </r>
    <r>
      <rPr>
        <sz val="16"/>
        <color theme="1"/>
        <rFont val="Calibri"/>
        <family val="2"/>
        <scheme val="minor"/>
      </rPr>
      <t>(H)</t>
    </r>
  </si>
  <si>
    <r>
      <t>L</t>
    </r>
    <r>
      <rPr>
        <vertAlign val="subscript"/>
        <sz val="16"/>
        <color theme="1"/>
        <rFont val="Calibri (Body)"/>
      </rPr>
      <t>exp</t>
    </r>
    <r>
      <rPr>
        <sz val="16"/>
        <color theme="1"/>
        <rFont val="Calibri"/>
        <family val="2"/>
        <scheme val="minor"/>
      </rPr>
      <t xml:space="preserve"> (mH)</t>
    </r>
  </si>
  <si>
    <t>%diff</t>
  </si>
  <si>
    <r>
      <t>C</t>
    </r>
    <r>
      <rPr>
        <vertAlign val="subscript"/>
        <sz val="16"/>
        <color theme="1"/>
        <rFont val="Calibri (Body)"/>
      </rPr>
      <t>2,dm</t>
    </r>
    <r>
      <rPr>
        <sz val="16"/>
        <color theme="1"/>
        <rFont val="Calibri"/>
        <family val="2"/>
        <scheme val="minor"/>
      </rPr>
      <t xml:space="preserve">  (μF)</t>
    </r>
  </si>
  <si>
    <t>Single Capacitor</t>
  </si>
  <si>
    <t>Series Capacitor</t>
  </si>
  <si>
    <t>Parallel Capacitor</t>
  </si>
  <si>
    <r>
      <t>V</t>
    </r>
    <r>
      <rPr>
        <vertAlign val="subscript"/>
        <sz val="16"/>
        <color theme="1"/>
        <rFont val="Calibri (Body)"/>
      </rPr>
      <t>in</t>
    </r>
    <r>
      <rPr>
        <sz val="16"/>
        <color theme="1"/>
        <rFont val="Calibri"/>
        <family val="2"/>
        <scheme val="minor"/>
      </rPr>
      <t xml:space="preserve"> (V)</t>
    </r>
  </si>
  <si>
    <t>For Single Capacitor</t>
  </si>
  <si>
    <t>For Series Capacitor</t>
  </si>
  <si>
    <r>
      <t>V</t>
    </r>
    <r>
      <rPr>
        <vertAlign val="subscript"/>
        <sz val="16"/>
        <color theme="1"/>
        <rFont val="Calibri (Body)"/>
      </rPr>
      <t>R</t>
    </r>
  </si>
  <si>
    <t>R (Ω)</t>
  </si>
  <si>
    <r>
      <t>L</t>
    </r>
    <r>
      <rPr>
        <vertAlign val="subscript"/>
        <sz val="16"/>
        <color theme="1"/>
        <rFont val="Calibri (Body)"/>
      </rPr>
      <t>acc</t>
    </r>
    <r>
      <rPr>
        <sz val="16"/>
        <color theme="1"/>
        <rFont val="Calibri"/>
        <family val="2"/>
        <scheme val="minor"/>
      </rPr>
      <t xml:space="preserve"> (H)</t>
    </r>
  </si>
  <si>
    <t>Capacitance (F)</t>
  </si>
  <si>
    <r>
      <t>C</t>
    </r>
    <r>
      <rPr>
        <vertAlign val="superscript"/>
        <sz val="16"/>
        <color theme="1"/>
        <rFont val="Calibri (Body)"/>
      </rPr>
      <t>-1/2</t>
    </r>
    <r>
      <rPr>
        <sz val="16"/>
        <color theme="1"/>
        <rFont val="Calibri"/>
        <family val="2"/>
        <scheme val="minor"/>
      </rPr>
      <t xml:space="preserve"> (F</t>
    </r>
    <r>
      <rPr>
        <vertAlign val="superscript"/>
        <sz val="16"/>
        <color theme="1"/>
        <rFont val="Calibri (Body)"/>
      </rPr>
      <t>-1/2</t>
    </r>
    <r>
      <rPr>
        <sz val="16"/>
        <color theme="1"/>
        <rFont val="Calibri"/>
        <family val="2"/>
        <scheme val="minor"/>
      </rPr>
      <t>)</t>
    </r>
  </si>
  <si>
    <t>For Parallel Capacitor</t>
  </si>
  <si>
    <t>reactive capacitance</t>
  </si>
  <si>
    <t>inductive Reactance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</si>
</sst>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0.000"/>
    <numFmt numFmtId="167" formatCode="0.000E+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  <font>
      <sz val="16"/>
      <color theme="1"/>
      <name val="Calibri"/>
      <family val="2"/>
      <scheme val="minor"/>
    </font>
    <font>
      <vertAlign val="subscript"/>
      <sz val="16"/>
      <color theme="1"/>
      <name val="Calibri (Body)"/>
    </font>
    <font>
      <vertAlign val="superscript"/>
      <sz val="16"/>
      <color theme="1"/>
      <name val="Calibri (Body)"/>
    </font>
    <font>
      <i/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26262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0" fontId="11" fillId="0" borderId="10" xfId="0" applyFont="1" applyBorder="1"/>
    <xf numFmtId="164" fontId="11" fillId="0" borderId="11" xfId="0" applyNumberFormat="1" applyFont="1" applyBorder="1"/>
    <xf numFmtId="0" fontId="11" fillId="0" borderId="0" xfId="0" applyFont="1"/>
    <xf numFmtId="0" fontId="11" fillId="0" borderId="12" xfId="0" applyFont="1" applyBorder="1"/>
    <xf numFmtId="0" fontId="11" fillId="0" borderId="12" xfId="0" applyFont="1" applyBorder="1" applyAlignment="1">
      <alignment horizontal="right"/>
    </xf>
    <xf numFmtId="0" fontId="15" fillId="0" borderId="0" xfId="0" applyFont="1" applyAlignment="1">
      <alignment horizontal="center"/>
    </xf>
    <xf numFmtId="0" fontId="11" fillId="0" borderId="13" xfId="0" applyFont="1" applyBorder="1"/>
    <xf numFmtId="0" fontId="11" fillId="0" borderId="14" xfId="0" applyFont="1" applyBorder="1"/>
    <xf numFmtId="0" fontId="11" fillId="2" borderId="12" xfId="0" applyFont="1" applyFill="1" applyBorder="1"/>
    <xf numFmtId="0" fontId="11" fillId="0" borderId="15" xfId="0" applyFont="1" applyBorder="1"/>
    <xf numFmtId="165" fontId="11" fillId="0" borderId="16" xfId="0" applyNumberFormat="1" applyFont="1" applyBorder="1"/>
    <xf numFmtId="0" fontId="11" fillId="0" borderId="17" xfId="0" applyFont="1" applyBorder="1"/>
    <xf numFmtId="0" fontId="11" fillId="0" borderId="20" xfId="0" applyFont="1" applyBorder="1"/>
    <xf numFmtId="0" fontId="11" fillId="0" borderId="21" xfId="0" applyFont="1" applyBorder="1"/>
    <xf numFmtId="0" fontId="11" fillId="0" borderId="12" xfId="0" applyFont="1" applyBorder="1" applyAlignment="1">
      <alignment horizontal="center"/>
    </xf>
    <xf numFmtId="11" fontId="11" fillId="0" borderId="12" xfId="0" applyNumberFormat="1" applyFont="1" applyBorder="1"/>
    <xf numFmtId="2" fontId="11" fillId="0" borderId="14" xfId="0" applyNumberFormat="1" applyFont="1" applyBorder="1"/>
    <xf numFmtId="164" fontId="11" fillId="0" borderId="0" xfId="0" applyNumberFormat="1" applyFont="1" applyBorder="1"/>
    <xf numFmtId="0" fontId="11" fillId="0" borderId="0" xfId="0" applyFont="1" applyBorder="1"/>
    <xf numFmtId="2" fontId="11" fillId="0" borderId="0" xfId="0" applyNumberFormat="1" applyFont="1" applyBorder="1"/>
    <xf numFmtId="165" fontId="11" fillId="0" borderId="0" xfId="0" applyNumberFormat="1" applyFont="1" applyBorder="1"/>
    <xf numFmtId="166" fontId="11" fillId="0" borderId="18" xfId="0" applyNumberFormat="1" applyFont="1" applyBorder="1"/>
    <xf numFmtId="2" fontId="11" fillId="2" borderId="12" xfId="0" applyNumberFormat="1" applyFont="1" applyFill="1" applyBorder="1"/>
    <xf numFmtId="0" fontId="11" fillId="0" borderId="0" xfId="0" applyFont="1" applyBorder="1" applyAlignment="1">
      <alignment horizontal="center"/>
    </xf>
    <xf numFmtId="11" fontId="11" fillId="0" borderId="0" xfId="0" applyNumberFormat="1" applyFont="1" applyBorder="1"/>
    <xf numFmtId="0" fontId="15" fillId="0" borderId="0" xfId="0" applyFont="1" applyBorder="1" applyAlignment="1"/>
    <xf numFmtId="0" fontId="11" fillId="0" borderId="22" xfId="0" applyFont="1" applyBorder="1" applyAlignment="1">
      <alignment horizontal="right"/>
    </xf>
    <xf numFmtId="0" fontId="11" fillId="0" borderId="22" xfId="0" applyFont="1" applyBorder="1"/>
    <xf numFmtId="0" fontId="15" fillId="0" borderId="19" xfId="0" applyFont="1" applyBorder="1" applyAlignment="1">
      <alignment horizontal="center"/>
    </xf>
    <xf numFmtId="0" fontId="15" fillId="0" borderId="20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7" fontId="11" fillId="2" borderId="12" xfId="0" applyNumberFormat="1" applyFont="1" applyFill="1" applyBorder="1"/>
    <xf numFmtId="0" fontId="16" fillId="0" borderId="0" xfId="0" applyFont="1"/>
    <xf numFmtId="0" fontId="15" fillId="0" borderId="12" xfId="0" applyFont="1" applyBorder="1" applyAlignment="1">
      <alignment horizontal="center"/>
    </xf>
    <xf numFmtId="0" fontId="0" fillId="4" borderId="0" xfId="0" applyFill="1" applyAlignment="1">
      <alignment horizontal="left" wrapText="1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164" fontId="1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  <a:r>
              <a:rPr lang="en-US" baseline="-25000"/>
              <a:t>R</a:t>
            </a:r>
            <a:r>
              <a:rPr lang="en-US" baseline="0"/>
              <a:t> vs. f (Single Capacitor)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Sheet1!$D$3:$D$39</c:f>
              <c:numCache>
                <c:formatCode>General</c:formatCode>
                <c:ptCount val="37"/>
                <c:pt idx="0">
                  <c:v>500</c:v>
                </c:pt>
                <c:pt idx="1">
                  <c:v>600</c:v>
                </c:pt>
                <c:pt idx="2">
                  <c:v>700</c:v>
                </c:pt>
                <c:pt idx="3">
                  <c:v>800</c:v>
                </c:pt>
                <c:pt idx="4">
                  <c:v>900</c:v>
                </c:pt>
                <c:pt idx="5">
                  <c:v>1000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1800</c:v>
                </c:pt>
                <c:pt idx="14">
                  <c:v>1900</c:v>
                </c:pt>
                <c:pt idx="15">
                  <c:v>2000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2700</c:v>
                </c:pt>
                <c:pt idx="23">
                  <c:v>2800</c:v>
                </c:pt>
                <c:pt idx="24">
                  <c:v>2900</c:v>
                </c:pt>
                <c:pt idx="25">
                  <c:v>3000</c:v>
                </c:pt>
                <c:pt idx="26">
                  <c:v>3100</c:v>
                </c:pt>
                <c:pt idx="27">
                  <c:v>3200</c:v>
                </c:pt>
                <c:pt idx="28">
                  <c:v>3300</c:v>
                </c:pt>
                <c:pt idx="29">
                  <c:v>3400</c:v>
                </c:pt>
                <c:pt idx="30">
                  <c:v>3500</c:v>
                </c:pt>
                <c:pt idx="31">
                  <c:v>3600</c:v>
                </c:pt>
                <c:pt idx="32">
                  <c:v>3700</c:v>
                </c:pt>
                <c:pt idx="33">
                  <c:v>3800</c:v>
                </c:pt>
                <c:pt idx="34">
                  <c:v>3900</c:v>
                </c:pt>
                <c:pt idx="35">
                  <c:v>4000</c:v>
                </c:pt>
                <c:pt idx="36">
                  <c:v>4100</c:v>
                </c:pt>
              </c:numCache>
            </c:numRef>
          </c:xVal>
          <c:yVal>
            <c:numRef>
              <c:f>Sheet1!$E$3:$E$39</c:f>
              <c:numCache>
                <c:formatCode>0.00E+00</c:formatCode>
                <c:ptCount val="37"/>
                <c:pt idx="0">
                  <c:v>1.2698642897189927</c:v>
                </c:pt>
                <c:pt idx="1">
                  <c:v>1.5593403454521464</c:v>
                </c:pt>
                <c:pt idx="2">
                  <c:v>1.869905326195356</c:v>
                </c:pt>
                <c:pt idx="3">
                  <c:v>2.2065126991668484</c:v>
                </c:pt>
                <c:pt idx="4">
                  <c:v>2.5747206777158009</c:v>
                </c:pt>
                <c:pt idx="5">
                  <c:v>2.9806227818798088</c:v>
                </c:pt>
                <c:pt idx="6">
                  <c:v>3.4305472683541307</c:v>
                </c:pt>
                <c:pt idx="7">
                  <c:v>3.9303010886376746</c:v>
                </c:pt>
                <c:pt idx="8">
                  <c:v>4.4835814522361419</c:v>
                </c:pt>
                <c:pt idx="9">
                  <c:v>5.0890142744800793</c:v>
                </c:pt>
                <c:pt idx="10">
                  <c:v>5.7353064398088049</c:v>
                </c:pt>
                <c:pt idx="11">
                  <c:v>6.394780791238766</c:v>
                </c:pt>
                <c:pt idx="12">
                  <c:v>7.017993264489415</c:v>
                </c:pt>
                <c:pt idx="13">
                  <c:v>7.5360431558650962</c:v>
                </c:pt>
                <c:pt idx="14">
                  <c:v>7.8779308735991656</c:v>
                </c:pt>
                <c:pt idx="15">
                  <c:v>7.9998106717135844</c:v>
                </c:pt>
                <c:pt idx="16">
                  <c:v>7.906017131693754</c:v>
                </c:pt>
                <c:pt idx="17">
                  <c:v>7.6434178071748882</c:v>
                </c:pt>
                <c:pt idx="18">
                  <c:v>7.2758910863613258</c:v>
                </c:pt>
                <c:pt idx="19">
                  <c:v>6.8606850857031327</c:v>
                </c:pt>
                <c:pt idx="20">
                  <c:v>6.4381304381570388</c:v>
                </c:pt>
                <c:pt idx="21">
                  <c:v>6.032007618608163</c:v>
                </c:pt>
                <c:pt idx="22">
                  <c:v>5.6540470361239086</c:v>
                </c:pt>
                <c:pt idx="23">
                  <c:v>5.3085092974995298</c:v>
                </c:pt>
                <c:pt idx="24">
                  <c:v>4.9955215246114788</c:v>
                </c:pt>
                <c:pt idx="25">
                  <c:v>4.7131654977077524</c:v>
                </c:pt>
                <c:pt idx="26">
                  <c:v>4.4586722676072537</c:v>
                </c:pt>
                <c:pt idx="27">
                  <c:v>4.2290603267608571</c:v>
                </c:pt>
                <c:pt idx="28">
                  <c:v>4.0214523278702607</c:v>
                </c:pt>
                <c:pt idx="29">
                  <c:v>3.8332150636625082</c:v>
                </c:pt>
                <c:pt idx="30">
                  <c:v>3.6620063450440026</c:v>
                </c:pt>
                <c:pt idx="31">
                  <c:v>3.5057753064366932</c:v>
                </c:pt>
                <c:pt idx="32">
                  <c:v>3.362741298865807</c:v>
                </c:pt>
                <c:pt idx="33">
                  <c:v>3.2313645938853282</c:v>
                </c:pt>
                <c:pt idx="34">
                  <c:v>3.1103155846819086</c:v>
                </c:pt>
                <c:pt idx="35">
                  <c:v>2.9984456524526686</c:v>
                </c:pt>
                <c:pt idx="36">
                  <c:v>2.894761010623474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AF-4699-A078-F332BAC77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77648"/>
        <c:axId val="505080272"/>
      </c:scatterChart>
      <c:valAx>
        <c:axId val="50507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80272"/>
        <c:crosses val="autoZero"/>
        <c:crossBetween val="midCat"/>
      </c:valAx>
      <c:valAx>
        <c:axId val="50508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77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  <a:r>
              <a:rPr lang="en-US" baseline="-25000"/>
              <a:t>R</a:t>
            </a:r>
            <a:r>
              <a:rPr lang="en-US" baseline="0"/>
              <a:t> vs. f (Series Capacitor)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Sheet1!$F$3:$F$39</c:f>
              <c:numCache>
                <c:formatCode>General</c:formatCode>
                <c:ptCount val="37"/>
                <c:pt idx="0">
                  <c:v>500</c:v>
                </c:pt>
                <c:pt idx="1">
                  <c:v>600</c:v>
                </c:pt>
                <c:pt idx="2">
                  <c:v>700</c:v>
                </c:pt>
                <c:pt idx="3">
                  <c:v>800</c:v>
                </c:pt>
                <c:pt idx="4">
                  <c:v>900</c:v>
                </c:pt>
                <c:pt idx="5">
                  <c:v>1000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1800</c:v>
                </c:pt>
                <c:pt idx="14">
                  <c:v>1900</c:v>
                </c:pt>
                <c:pt idx="15">
                  <c:v>2000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2700</c:v>
                </c:pt>
                <c:pt idx="23">
                  <c:v>2800</c:v>
                </c:pt>
                <c:pt idx="24">
                  <c:v>2900</c:v>
                </c:pt>
                <c:pt idx="25">
                  <c:v>3000</c:v>
                </c:pt>
                <c:pt idx="26">
                  <c:v>3100</c:v>
                </c:pt>
                <c:pt idx="27">
                  <c:v>3200</c:v>
                </c:pt>
                <c:pt idx="28">
                  <c:v>3300</c:v>
                </c:pt>
                <c:pt idx="29">
                  <c:v>3400</c:v>
                </c:pt>
                <c:pt idx="30">
                  <c:v>3500</c:v>
                </c:pt>
                <c:pt idx="31">
                  <c:v>3600</c:v>
                </c:pt>
                <c:pt idx="32">
                  <c:v>3700</c:v>
                </c:pt>
                <c:pt idx="33">
                  <c:v>3800</c:v>
                </c:pt>
                <c:pt idx="34">
                  <c:v>3900</c:v>
                </c:pt>
                <c:pt idx="35">
                  <c:v>4000</c:v>
                </c:pt>
                <c:pt idx="36">
                  <c:v>4100</c:v>
                </c:pt>
              </c:numCache>
            </c:numRef>
          </c:xVal>
          <c:yVal>
            <c:numRef>
              <c:f>Sheet1!$G$3:$G$39</c:f>
              <c:numCache>
                <c:formatCode>0.00E+00</c:formatCode>
                <c:ptCount val="37"/>
                <c:pt idx="0">
                  <c:v>0.61101753484555543</c:v>
                </c:pt>
                <c:pt idx="1">
                  <c:v>0.74252641581171774</c:v>
                </c:pt>
                <c:pt idx="2">
                  <c:v>0.87942917164061973</c:v>
                </c:pt>
                <c:pt idx="3">
                  <c:v>1.022906521422668</c:v>
                </c:pt>
                <c:pt idx="4">
                  <c:v>1.1742879274647582</c:v>
                </c:pt>
                <c:pt idx="5">
                  <c:v>1.3350872796050588</c:v>
                </c:pt>
                <c:pt idx="6">
                  <c:v>1.5070452138808876</c:v>
                </c:pt>
                <c:pt idx="7">
                  <c:v>1.6921791486430764</c:v>
                </c:pt>
                <c:pt idx="8">
                  <c:v>1.8928417463816958</c:v>
                </c:pt>
                <c:pt idx="9">
                  <c:v>2.1117874753590322</c:v>
                </c:pt>
                <c:pt idx="10">
                  <c:v>2.3522445766504099</c:v>
                </c:pt>
                <c:pt idx="11">
                  <c:v>2.617984752131354</c:v>
                </c:pt>
                <c:pt idx="12">
                  <c:v>2.9133728672619306</c:v>
                </c:pt>
                <c:pt idx="13">
                  <c:v>3.2433595255381227</c:v>
                </c:pt>
                <c:pt idx="14">
                  <c:v>3.6133429529709997</c:v>
                </c:pt>
                <c:pt idx="15">
                  <c:v>4.0287615007689066</c:v>
                </c:pt>
                <c:pt idx="16">
                  <c:v>4.4941704456843556</c:v>
                </c:pt>
                <c:pt idx="17">
                  <c:v>5.0114056241542411</c:v>
                </c:pt>
                <c:pt idx="18">
                  <c:v>5.5763059322327138</c:v>
                </c:pt>
                <c:pt idx="19">
                  <c:v>6.1736163637327284</c:v>
                </c:pt>
                <c:pt idx="20">
                  <c:v>6.7707586807462627</c:v>
                </c:pt>
                <c:pt idx="21">
                  <c:v>7.3139385960712584</c:v>
                </c:pt>
                <c:pt idx="22">
                  <c:v>7.7336829354241106</c:v>
                </c:pt>
                <c:pt idx="23">
                  <c:v>7.9655922578746505</c:v>
                </c:pt>
                <c:pt idx="24">
                  <c:v>7.9790877170922547</c:v>
                </c:pt>
                <c:pt idx="25">
                  <c:v>7.7923127611588816</c:v>
                </c:pt>
                <c:pt idx="26">
                  <c:v>7.4598181311814402</c:v>
                </c:pt>
                <c:pt idx="27">
                  <c:v>7.0456160652805861</c:v>
                </c:pt>
                <c:pt idx="28">
                  <c:v>6.6025941212895525</c:v>
                </c:pt>
                <c:pt idx="29">
                  <c:v>6.1656907645974881</c:v>
                </c:pt>
                <c:pt idx="30">
                  <c:v>5.7541075258041552</c:v>
                </c:pt>
                <c:pt idx="31">
                  <c:v>5.3762685343484344</c:v>
                </c:pt>
                <c:pt idx="32">
                  <c:v>5.0342347486999346</c:v>
                </c:pt>
                <c:pt idx="33">
                  <c:v>4.7267299229582314</c:v>
                </c:pt>
                <c:pt idx="34">
                  <c:v>4.4509587255656067</c:v>
                </c:pt>
                <c:pt idx="35">
                  <c:v>4.2036092817818655</c:v>
                </c:pt>
                <c:pt idx="36">
                  <c:v>3.9813658000732559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1-4C44-88EE-454172E5F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279416"/>
        <c:axId val="494276464"/>
      </c:scatterChart>
      <c:valAx>
        <c:axId val="494279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76464"/>
        <c:crosses val="autoZero"/>
        <c:crossBetween val="midCat"/>
      </c:valAx>
      <c:valAx>
        <c:axId val="49427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279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</a:t>
            </a:r>
            <a:r>
              <a:rPr lang="en-US" baseline="-25000"/>
              <a:t>R</a:t>
            </a:r>
            <a:r>
              <a:rPr lang="en-US" baseline="0"/>
              <a:t> vs. f (Parallel Capacitor)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Sheet1!$H$3:$H$39</c:f>
              <c:numCache>
                <c:formatCode>General</c:formatCode>
                <c:ptCount val="37"/>
                <c:pt idx="0">
                  <c:v>500</c:v>
                </c:pt>
                <c:pt idx="1">
                  <c:v>600</c:v>
                </c:pt>
                <c:pt idx="2">
                  <c:v>700</c:v>
                </c:pt>
                <c:pt idx="3">
                  <c:v>800</c:v>
                </c:pt>
                <c:pt idx="4">
                  <c:v>900</c:v>
                </c:pt>
                <c:pt idx="5">
                  <c:v>1000</c:v>
                </c:pt>
                <c:pt idx="6">
                  <c:v>1100</c:v>
                </c:pt>
                <c:pt idx="7">
                  <c:v>1200</c:v>
                </c:pt>
                <c:pt idx="8">
                  <c:v>1300</c:v>
                </c:pt>
                <c:pt idx="9">
                  <c:v>1400</c:v>
                </c:pt>
                <c:pt idx="10">
                  <c:v>1500</c:v>
                </c:pt>
                <c:pt idx="11">
                  <c:v>1600</c:v>
                </c:pt>
                <c:pt idx="12">
                  <c:v>1700</c:v>
                </c:pt>
                <c:pt idx="13">
                  <c:v>1800</c:v>
                </c:pt>
                <c:pt idx="14">
                  <c:v>1900</c:v>
                </c:pt>
                <c:pt idx="15">
                  <c:v>2000</c:v>
                </c:pt>
                <c:pt idx="16">
                  <c:v>2100</c:v>
                </c:pt>
                <c:pt idx="17">
                  <c:v>2200</c:v>
                </c:pt>
                <c:pt idx="18">
                  <c:v>2300</c:v>
                </c:pt>
                <c:pt idx="19">
                  <c:v>2400</c:v>
                </c:pt>
                <c:pt idx="20">
                  <c:v>2500</c:v>
                </c:pt>
                <c:pt idx="21">
                  <c:v>2600</c:v>
                </c:pt>
                <c:pt idx="22">
                  <c:v>2700</c:v>
                </c:pt>
                <c:pt idx="23">
                  <c:v>2800</c:v>
                </c:pt>
                <c:pt idx="24">
                  <c:v>2900</c:v>
                </c:pt>
                <c:pt idx="25">
                  <c:v>3000</c:v>
                </c:pt>
                <c:pt idx="26">
                  <c:v>3100</c:v>
                </c:pt>
                <c:pt idx="27">
                  <c:v>3200</c:v>
                </c:pt>
                <c:pt idx="28">
                  <c:v>3300</c:v>
                </c:pt>
                <c:pt idx="29">
                  <c:v>3400</c:v>
                </c:pt>
                <c:pt idx="30">
                  <c:v>3500</c:v>
                </c:pt>
                <c:pt idx="31">
                  <c:v>3600</c:v>
                </c:pt>
                <c:pt idx="32">
                  <c:v>3700</c:v>
                </c:pt>
                <c:pt idx="33">
                  <c:v>3800</c:v>
                </c:pt>
                <c:pt idx="34">
                  <c:v>3900</c:v>
                </c:pt>
                <c:pt idx="35">
                  <c:v>4000</c:v>
                </c:pt>
                <c:pt idx="36">
                  <c:v>4100</c:v>
                </c:pt>
              </c:numCache>
            </c:numRef>
          </c:xVal>
          <c:yVal>
            <c:numRef>
              <c:f>Sheet1!$I$3:$I$39</c:f>
              <c:numCache>
                <c:formatCode>0.00E+00</c:formatCode>
                <c:ptCount val="37"/>
                <c:pt idx="0">
                  <c:v>2.5625006124251537</c:v>
                </c:pt>
                <c:pt idx="1">
                  <c:v>3.1745043136338968</c:v>
                </c:pt>
                <c:pt idx="2">
                  <c:v>3.837181806770972</c:v>
                </c:pt>
                <c:pt idx="3">
                  <c:v>4.5505773711603004</c:v>
                </c:pt>
                <c:pt idx="4">
                  <c:v>5.3036133622705366</c:v>
                </c:pt>
                <c:pt idx="5">
                  <c:v>6.0670376029781146</c:v>
                </c:pt>
                <c:pt idx="6">
                  <c:v>6.7878904075259365</c:v>
                </c:pt>
                <c:pt idx="7">
                  <c:v>7.3929256839322388</c:v>
                </c:pt>
                <c:pt idx="8">
                  <c:v>7.8083718893357208</c:v>
                </c:pt>
                <c:pt idx="9">
                  <c:v>7.9908974924611709</c:v>
                </c:pt>
                <c:pt idx="10">
                  <c:v>7.9475581881274966</c:v>
                </c:pt>
                <c:pt idx="11">
                  <c:v>7.7276012811712951</c:v>
                </c:pt>
                <c:pt idx="12">
                  <c:v>7.3958505292525887</c:v>
                </c:pt>
                <c:pt idx="13">
                  <c:v>7.0097105556934913</c:v>
                </c:pt>
                <c:pt idx="14">
                  <c:v>6.6097346303414692</c:v>
                </c:pt>
                <c:pt idx="15">
                  <c:v>6.2202876695055647</c:v>
                </c:pt>
                <c:pt idx="16">
                  <c:v>5.853946755947276</c:v>
                </c:pt>
                <c:pt idx="17">
                  <c:v>5.5158947416843853</c:v>
                </c:pt>
                <c:pt idx="18">
                  <c:v>5.2071233837570912</c:v>
                </c:pt>
                <c:pt idx="19">
                  <c:v>4.9264589252341473</c:v>
                </c:pt>
                <c:pt idx="20">
                  <c:v>4.6717420037275073</c:v>
                </c:pt>
                <c:pt idx="21">
                  <c:v>4.4404754253024876</c:v>
                </c:pt>
                <c:pt idx="22">
                  <c:v>4.2301596829260495</c:v>
                </c:pt>
                <c:pt idx="23">
                  <c:v>4.038453118484461</c:v>
                </c:pt>
                <c:pt idx="24">
                  <c:v>3.8632370046049727</c:v>
                </c:pt>
                <c:pt idx="25">
                  <c:v>3.7026310191074527</c:v>
                </c:pt>
                <c:pt idx="26">
                  <c:v>3.5549842639316069</c:v>
                </c:pt>
                <c:pt idx="27">
                  <c:v>3.4188554424758735</c:v>
                </c:pt>
                <c:pt idx="28">
                  <c:v>3.2929893694701642</c:v>
                </c:pt>
                <c:pt idx="29">
                  <c:v>3.1762934400373988</c:v>
                </c:pt>
                <c:pt idx="30">
                  <c:v>3.0678157574815241</c:v>
                </c:pt>
                <c:pt idx="31">
                  <c:v>2.966725592650493</c:v>
                </c:pt>
                <c:pt idx="32">
                  <c:v>2.8722963178008634</c:v>
                </c:pt>
                <c:pt idx="33">
                  <c:v>2.7838906994948629</c:v>
                </c:pt>
                <c:pt idx="34">
                  <c:v>2.7009483229139373</c:v>
                </c:pt>
                <c:pt idx="35">
                  <c:v>2.622974884663265</c:v>
                </c:pt>
                <c:pt idx="36">
                  <c:v>2.5495330944564203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1-4767-9B48-B48D54FF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85848"/>
        <c:axId val="505086176"/>
      </c:scatterChart>
      <c:valAx>
        <c:axId val="505085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86176"/>
        <c:crosses val="autoZero"/>
        <c:crossBetween val="midCat"/>
      </c:valAx>
      <c:valAx>
        <c:axId val="5050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08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EF-D845-BD87-E148483E8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0592"/>
        <c:axId val="292071152"/>
      </c:scatterChart>
      <c:valAx>
        <c:axId val="29207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1152"/>
        <c:crosses val="autoZero"/>
        <c:crossBetween val="midCat"/>
      </c:valAx>
      <c:valAx>
        <c:axId val="2920711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0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A1-E04B-8F51-E39CF46E4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5072"/>
        <c:axId val="292075632"/>
      </c:scatterChart>
      <c:valAx>
        <c:axId val="292075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632"/>
        <c:crosses val="autoZero"/>
        <c:crossBetween val="midCat"/>
      </c:valAx>
      <c:valAx>
        <c:axId val="2920756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5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BA-9D45-BF36-F6C7C666D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077872"/>
        <c:axId val="219870736"/>
      </c:scatterChart>
      <c:valAx>
        <c:axId val="29207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0736"/>
        <c:crosses val="autoZero"/>
        <c:crossBetween val="midCat"/>
      </c:valAx>
      <c:valAx>
        <c:axId val="219870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077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B4-9743-B28A-723A56EF2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2976"/>
        <c:axId val="219873536"/>
      </c:scatterChart>
      <c:valAx>
        <c:axId val="219872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3536"/>
        <c:crosses val="autoZero"/>
        <c:crossBetween val="midCat"/>
      </c:valAx>
      <c:valAx>
        <c:axId val="2198735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2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F2-414A-8AA4-0EE9E425016F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F2-414A-8AA4-0EE9E4250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76336"/>
        <c:axId val="219876896"/>
      </c:scatterChart>
      <c:valAx>
        <c:axId val="21987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896"/>
        <c:crosses val="autoZero"/>
        <c:crossBetween val="midCat"/>
      </c:valAx>
      <c:valAx>
        <c:axId val="2198768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9876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D0-8B42-9DA8-2C926D6ADB80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D0-8B42-9DA8-2C926D6AD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64848"/>
        <c:axId val="292265408"/>
      </c:scatterChart>
      <c:valAx>
        <c:axId val="29226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5408"/>
        <c:crosses val="autoZero"/>
        <c:crossBetween val="midCat"/>
      </c:valAx>
      <c:valAx>
        <c:axId val="292265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92264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172193</xdr:colOff>
      <xdr:row>5</xdr:row>
      <xdr:rowOff>135328</xdr:rowOff>
    </xdr:from>
    <xdr:to>
      <xdr:col>13</xdr:col>
      <xdr:colOff>259278</xdr:colOff>
      <xdr:row>15</xdr:row>
      <xdr:rowOff>193717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779C6A8-20FD-4059-9EEA-60D03AF7C6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174172</xdr:colOff>
      <xdr:row>16</xdr:row>
      <xdr:rowOff>136072</xdr:rowOff>
    </xdr:from>
    <xdr:to>
      <xdr:col>13</xdr:col>
      <xdr:colOff>261257</xdr:colOff>
      <xdr:row>26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C654BC-4361-4B8B-AD9F-06D413B39D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195943</xdr:colOff>
      <xdr:row>27</xdr:row>
      <xdr:rowOff>114299</xdr:rowOff>
    </xdr:from>
    <xdr:to>
      <xdr:col>13</xdr:col>
      <xdr:colOff>283028</xdr:colOff>
      <xdr:row>37</xdr:row>
      <xdr:rowOff>136071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E23D565-B067-45E0-A479-0FEB501864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80961</xdr:rowOff>
    </xdr:from>
    <xdr:to>
      <xdr:col>12</xdr:col>
      <xdr:colOff>600074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581024</xdr:colOff>
      <xdr:row>44</xdr:row>
      <xdr:rowOff>147639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590549</xdr:colOff>
      <xdr:row>57</xdr:row>
      <xdr:rowOff>128589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561974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142876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45"/>
  <sheetViews>
    <sheetView tabSelected="1" topLeftCell="J1" zoomScale="70" zoomScaleNormal="70" workbookViewId="0">
      <selection activeCell="R10" sqref="R10"/>
    </sheetView>
  </sheetViews>
  <sheetFormatPr defaultColWidth="10.7109375" defaultRowHeight="21"/>
  <cols>
    <col min="1" max="1" width="25.140625" style="11" bestFit="1" customWidth="1"/>
    <col min="2" max="2" width="11.140625" style="11" bestFit="1" customWidth="1"/>
    <col min="3" max="4" width="11.140625" style="11" customWidth="1"/>
    <col min="5" max="5" width="22.28515625" style="11" customWidth="1"/>
    <col min="6" max="6" width="11.140625" style="11" customWidth="1"/>
    <col min="7" max="7" width="22.140625" style="11" customWidth="1"/>
    <col min="8" max="8" width="11.140625" style="11" customWidth="1"/>
    <col min="9" max="9" width="21.7109375" style="11" customWidth="1"/>
    <col min="10" max="10" width="10.7109375" style="11"/>
    <col min="11" max="11" width="22.28515625" style="11" customWidth="1"/>
    <col min="12" max="12" width="28.5703125" style="11" customWidth="1"/>
    <col min="13" max="13" width="21.28515625" style="11" customWidth="1"/>
    <col min="14" max="15" width="14.7109375" style="11" customWidth="1"/>
    <col min="16" max="16" width="17.42578125" style="11" customWidth="1"/>
    <col min="17" max="17" width="29.7109375" style="11" bestFit="1" customWidth="1"/>
    <col min="18" max="18" width="15.7109375" style="11" bestFit="1" customWidth="1"/>
    <col min="19" max="16384" width="10.7109375" style="11"/>
  </cols>
  <sheetData>
    <row r="1" spans="1:19" ht="24.75">
      <c r="A1" s="9" t="s">
        <v>121</v>
      </c>
      <c r="B1" s="10">
        <v>0.10009999999999999</v>
      </c>
      <c r="C1" s="26"/>
      <c r="D1" s="43" t="s">
        <v>131</v>
      </c>
      <c r="E1" s="43"/>
      <c r="F1" s="43" t="s">
        <v>132</v>
      </c>
      <c r="G1" s="43"/>
      <c r="H1" s="43" t="s">
        <v>138</v>
      </c>
      <c r="I1" s="43"/>
      <c r="L1" s="12" t="s">
        <v>136</v>
      </c>
      <c r="M1" s="13" t="s">
        <v>137</v>
      </c>
      <c r="N1" s="35" t="s">
        <v>122</v>
      </c>
      <c r="O1" s="37" t="s">
        <v>4</v>
      </c>
      <c r="Q1" s="12" t="s">
        <v>123</v>
      </c>
      <c r="R1" s="12" t="s">
        <v>125</v>
      </c>
      <c r="S1" s="14"/>
    </row>
    <row r="2" spans="1:19" ht="23.25">
      <c r="A2" s="15" t="s">
        <v>126</v>
      </c>
      <c r="B2" s="16">
        <v>9.7000000000000003E-2</v>
      </c>
      <c r="C2" s="27"/>
      <c r="D2" s="23" t="s">
        <v>15</v>
      </c>
      <c r="E2" s="23" t="s">
        <v>133</v>
      </c>
      <c r="F2" s="23" t="s">
        <v>15</v>
      </c>
      <c r="G2" s="23" t="s">
        <v>133</v>
      </c>
      <c r="H2" s="23" t="s">
        <v>15</v>
      </c>
      <c r="I2" s="23" t="s">
        <v>133</v>
      </c>
      <c r="K2" s="12" t="s">
        <v>127</v>
      </c>
      <c r="L2" s="41">
        <f>B1/1000000</f>
        <v>1.0009999999999999E-7</v>
      </c>
      <c r="M2" s="31">
        <f>1/SQRT(L2)</f>
        <v>3160.6977062050701</v>
      </c>
      <c r="N2" s="36">
        <v>2000</v>
      </c>
      <c r="O2" s="21">
        <f>IF(COUNT(M:M)=COUNT(N:N),COUNT(M:M), "Your numbers do not match!")</f>
        <v>3</v>
      </c>
      <c r="Q2" s="42">
        <f>1/((2*PI()*O5)^2)</f>
        <v>5.698331206777154E-2</v>
      </c>
      <c r="R2" s="17">
        <f>ABS(Q2-B5)/B5*100</f>
        <v>9.5502983051245405</v>
      </c>
    </row>
    <row r="3" spans="1:19" ht="23.25">
      <c r="A3" s="15" t="s">
        <v>134</v>
      </c>
      <c r="B3" s="25">
        <v>479.42</v>
      </c>
      <c r="C3" s="28"/>
      <c r="D3" s="12">
        <v>500</v>
      </c>
      <c r="E3" s="24">
        <f>(B$3*B$4)/SQRT(B$3^2+((2*PI()*D3*B$5)-(2*PI()*D3*L$2)^-1)^2)</f>
        <v>1.2698642897189927</v>
      </c>
      <c r="F3" s="12">
        <v>500</v>
      </c>
      <c r="G3" s="24">
        <f>(B$3*B$4)/SQRT(B$3^2+((2*PI()*F3*B$5)-(2*PI()*F3*L$3)^-1)^2)</f>
        <v>0.61101753484555543</v>
      </c>
      <c r="H3" s="12">
        <v>500</v>
      </c>
      <c r="I3" s="24">
        <f>(B$3*B$4)/SQRT(B$3^2+((2*PI()*H3*B$5)-(2*PI()*H3*L$4)^-1)^2)</f>
        <v>2.5625006124251537</v>
      </c>
      <c r="K3" s="12" t="s">
        <v>128</v>
      </c>
      <c r="L3" s="41">
        <f>0.0493/1000000</f>
        <v>4.9299999999999998E-8</v>
      </c>
      <c r="M3" s="31">
        <f>1/SQRT(L3)</f>
        <v>4503.7734911104499</v>
      </c>
      <c r="N3" s="36">
        <v>2900</v>
      </c>
      <c r="O3" s="38" t="s">
        <v>6</v>
      </c>
      <c r="Q3" s="12" t="s">
        <v>124</v>
      </c>
      <c r="S3" s="14"/>
    </row>
    <row r="4" spans="1:19" ht="24" thickBot="1">
      <c r="A4" s="18" t="s">
        <v>130</v>
      </c>
      <c r="B4" s="19">
        <v>8</v>
      </c>
      <c r="C4" s="29"/>
      <c r="D4" s="12">
        <f>D3+100</f>
        <v>600</v>
      </c>
      <c r="E4" s="24">
        <f t="shared" ref="E4:E39" si="0">(B$3*B$4)/SQRT(B$3^2+((2*PI()*D4*B$5)-(2*PI()*D4*L$2)^-1)^2)</f>
        <v>1.5593403454521464</v>
      </c>
      <c r="F4" s="12">
        <f>F3+100</f>
        <v>600</v>
      </c>
      <c r="G4" s="24">
        <f t="shared" ref="G4:G39" si="1">(B$3*B$4)/SQRT(B$3^2+((2*PI()*F4*B$5)-(2*PI()*F4*L$3)^-1)^2)</f>
        <v>0.74252641581171774</v>
      </c>
      <c r="H4" s="12">
        <f>H3+100</f>
        <v>600</v>
      </c>
      <c r="I4" s="24">
        <f t="shared" ref="I4:I39" si="2">(B$3*B$4)/SQRT(B$3^2+((2*PI()*H4*B$5)-(2*PI()*H4*L$4)^-1)^2)</f>
        <v>3.1745043136338968</v>
      </c>
      <c r="K4" s="12" t="s">
        <v>129</v>
      </c>
      <c r="L4" s="41">
        <f>0.197/1000000</f>
        <v>1.97E-7</v>
      </c>
      <c r="M4" s="31">
        <f t="shared" ref="M4" si="3">1/SQRT(L4)</f>
        <v>2253.0295452966643</v>
      </c>
      <c r="N4" s="36">
        <v>1400</v>
      </c>
      <c r="O4" s="38" t="s">
        <v>12</v>
      </c>
      <c r="Q4" s="17">
        <f>Q2*1000</f>
        <v>56.983312067771543</v>
      </c>
      <c r="S4" s="14"/>
    </row>
    <row r="5" spans="1:19" ht="24" thickBot="1">
      <c r="A5" s="20" t="s">
        <v>135</v>
      </c>
      <c r="B5" s="30">
        <v>6.3E-2</v>
      </c>
      <c r="C5" s="28"/>
      <c r="D5" s="12">
        <f t="shared" ref="D5:D39" si="4">D4+100</f>
        <v>700</v>
      </c>
      <c r="E5" s="24">
        <f t="shared" si="0"/>
        <v>1.869905326195356</v>
      </c>
      <c r="F5" s="12">
        <f t="shared" ref="F5:F39" si="5">F4+100</f>
        <v>700</v>
      </c>
      <c r="G5" s="24">
        <f t="shared" si="1"/>
        <v>0.87942917164061973</v>
      </c>
      <c r="H5" s="12">
        <f t="shared" ref="H5:H39" si="6">H4+100</f>
        <v>700</v>
      </c>
      <c r="I5" s="24">
        <f t="shared" si="2"/>
        <v>3.837181806770972</v>
      </c>
      <c r="O5" s="21">
        <f>SLOPE(N:N,M:M)</f>
        <v>0.66672430520877257</v>
      </c>
    </row>
    <row r="6" spans="1:19">
      <c r="D6" s="12">
        <f t="shared" si="4"/>
        <v>800</v>
      </c>
      <c r="E6" s="24">
        <f t="shared" si="0"/>
        <v>2.2065126991668484</v>
      </c>
      <c r="F6" s="12">
        <f t="shared" si="5"/>
        <v>800</v>
      </c>
      <c r="G6" s="24">
        <f t="shared" si="1"/>
        <v>1.022906521422668</v>
      </c>
      <c r="H6" s="12">
        <f t="shared" si="6"/>
        <v>800</v>
      </c>
      <c r="I6" s="24">
        <f t="shared" si="2"/>
        <v>4.5505773711603004</v>
      </c>
      <c r="O6" s="38" t="s">
        <v>7</v>
      </c>
      <c r="S6" s="14"/>
    </row>
    <row r="7" spans="1:19">
      <c r="D7" s="12">
        <f t="shared" si="4"/>
        <v>900</v>
      </c>
      <c r="E7" s="24">
        <f t="shared" si="0"/>
        <v>2.5747206777158009</v>
      </c>
      <c r="F7" s="12">
        <f t="shared" si="5"/>
        <v>900</v>
      </c>
      <c r="G7" s="24">
        <f t="shared" si="1"/>
        <v>1.1742879274647582</v>
      </c>
      <c r="H7" s="12">
        <f t="shared" si="6"/>
        <v>900</v>
      </c>
      <c r="I7" s="24">
        <f t="shared" si="2"/>
        <v>5.3036133622705366</v>
      </c>
      <c r="K7" s="34"/>
      <c r="L7" s="34"/>
      <c r="M7" s="34"/>
      <c r="N7" s="34"/>
      <c r="O7" s="38" t="s">
        <v>12</v>
      </c>
      <c r="P7" s="34"/>
      <c r="S7" s="14"/>
    </row>
    <row r="8" spans="1:19">
      <c r="D8" s="12">
        <f t="shared" si="4"/>
        <v>1000</v>
      </c>
      <c r="E8" s="24">
        <f t="shared" si="0"/>
        <v>2.9806227818798088</v>
      </c>
      <c r="F8" s="12">
        <f t="shared" si="5"/>
        <v>1000</v>
      </c>
      <c r="G8" s="24">
        <f t="shared" si="1"/>
        <v>1.3350872796050588</v>
      </c>
      <c r="H8" s="12">
        <f t="shared" si="6"/>
        <v>1000</v>
      </c>
      <c r="I8" s="24">
        <f t="shared" si="2"/>
        <v>6.0670376029781146</v>
      </c>
      <c r="K8" s="32"/>
      <c r="L8" s="32"/>
      <c r="M8" s="32"/>
      <c r="N8" s="32"/>
      <c r="O8" s="39">
        <f>INTERCEPT(N:N,M:M)</f>
        <v>-104.07959734186488</v>
      </c>
      <c r="P8" s="32"/>
    </row>
    <row r="9" spans="1:19">
      <c r="A9" s="27"/>
      <c r="D9" s="12">
        <f t="shared" si="4"/>
        <v>1100</v>
      </c>
      <c r="E9" s="24">
        <f t="shared" si="0"/>
        <v>3.4305472683541307</v>
      </c>
      <c r="F9" s="12">
        <f t="shared" si="5"/>
        <v>1100</v>
      </c>
      <c r="G9" s="24">
        <f t="shared" si="1"/>
        <v>1.5070452138808876</v>
      </c>
      <c r="H9" s="12">
        <f t="shared" si="6"/>
        <v>1100</v>
      </c>
      <c r="I9" s="24">
        <f t="shared" si="2"/>
        <v>6.7878904075259365</v>
      </c>
      <c r="K9" s="27"/>
      <c r="L9" s="33"/>
      <c r="M9" s="27"/>
      <c r="N9" s="27"/>
      <c r="O9" s="40" t="s">
        <v>8</v>
      </c>
      <c r="P9" s="27"/>
      <c r="Q9" s="11" t="s">
        <v>139</v>
      </c>
      <c r="R9" s="11" t="s">
        <v>140</v>
      </c>
      <c r="S9" s="1"/>
    </row>
    <row r="10" spans="1:19">
      <c r="A10" s="27"/>
      <c r="D10" s="12">
        <f t="shared" si="4"/>
        <v>1200</v>
      </c>
      <c r="E10" s="24">
        <f t="shared" si="0"/>
        <v>3.9303010886376746</v>
      </c>
      <c r="F10" s="12">
        <f t="shared" si="5"/>
        <v>1200</v>
      </c>
      <c r="G10" s="24">
        <f t="shared" si="1"/>
        <v>1.6921791486430764</v>
      </c>
      <c r="H10" s="12">
        <f t="shared" si="6"/>
        <v>1200</v>
      </c>
      <c r="I10" s="24">
        <f t="shared" si="2"/>
        <v>7.3929256839322388</v>
      </c>
      <c r="K10" s="27"/>
      <c r="L10" s="33"/>
      <c r="M10" s="27"/>
      <c r="N10" s="27"/>
      <c r="O10" s="21">
        <f>RSQ(N:N,M:M)</f>
        <v>0.99998606349671892</v>
      </c>
      <c r="P10" s="27"/>
      <c r="Q10" s="55">
        <f>1/(2*PI()*N2*L2)</f>
        <v>794.97973572375304</v>
      </c>
      <c r="R10" s="11">
        <f>2*PI()*N2*$Q$2</f>
        <v>716.07341827730261</v>
      </c>
    </row>
    <row r="11" spans="1:19">
      <c r="A11" s="27"/>
      <c r="D11" s="12">
        <f t="shared" si="4"/>
        <v>1300</v>
      </c>
      <c r="E11" s="24">
        <f t="shared" si="0"/>
        <v>4.4835814522361419</v>
      </c>
      <c r="F11" s="12">
        <f t="shared" si="5"/>
        <v>1300</v>
      </c>
      <c r="G11" s="24">
        <f t="shared" si="1"/>
        <v>1.8928417463816958</v>
      </c>
      <c r="H11" s="12">
        <f t="shared" si="6"/>
        <v>1300</v>
      </c>
      <c r="I11" s="24">
        <f t="shared" si="2"/>
        <v>7.8083718893357208</v>
      </c>
      <c r="K11" s="27"/>
      <c r="L11" s="33"/>
      <c r="M11" s="27"/>
      <c r="N11" s="27"/>
      <c r="O11" s="40" t="s">
        <v>16</v>
      </c>
      <c r="P11" s="27"/>
      <c r="Q11" s="55">
        <f t="shared" ref="Q11:Q12" si="7">1/(2*PI()*N3*L3)</f>
        <v>1113.2051695593157</v>
      </c>
      <c r="R11" s="11">
        <f t="shared" ref="R11:R12" si="8">2*PI()*N3*$Q$2</f>
        <v>1038.3064565020888</v>
      </c>
      <c r="S11" s="1"/>
    </row>
    <row r="12" spans="1:19">
      <c r="A12" s="27"/>
      <c r="D12" s="12">
        <f t="shared" si="4"/>
        <v>1400</v>
      </c>
      <c r="E12" s="24">
        <f t="shared" si="0"/>
        <v>5.0890142744800793</v>
      </c>
      <c r="F12" s="12">
        <f t="shared" si="5"/>
        <v>1400</v>
      </c>
      <c r="G12" s="24">
        <f t="shared" si="1"/>
        <v>2.1117874753590322</v>
      </c>
      <c r="H12" s="12">
        <f t="shared" si="6"/>
        <v>1400</v>
      </c>
      <c r="I12" s="24">
        <f t="shared" si="2"/>
        <v>7.9908974924611709</v>
      </c>
      <c r="K12" s="27"/>
      <c r="L12" s="33"/>
      <c r="M12" s="27"/>
      <c r="N12" s="27"/>
      <c r="O12" s="38" t="s">
        <v>12</v>
      </c>
      <c r="P12" s="27"/>
      <c r="Q12" s="55">
        <f t="shared" si="7"/>
        <v>577.06650867257201</v>
      </c>
      <c r="R12" s="11">
        <f t="shared" si="8"/>
        <v>501.25139279411184</v>
      </c>
      <c r="S12" s="14"/>
    </row>
    <row r="13" spans="1:19">
      <c r="A13" s="27"/>
      <c r="D13" s="12">
        <f t="shared" si="4"/>
        <v>1500</v>
      </c>
      <c r="E13" s="24">
        <f t="shared" si="0"/>
        <v>5.7353064398088049</v>
      </c>
      <c r="F13" s="12">
        <f t="shared" si="5"/>
        <v>1500</v>
      </c>
      <c r="G13" s="24">
        <f t="shared" si="1"/>
        <v>2.3522445766504099</v>
      </c>
      <c r="H13" s="12">
        <f t="shared" si="6"/>
        <v>1500</v>
      </c>
      <c r="I13" s="24">
        <f t="shared" si="2"/>
        <v>7.9475581881274966</v>
      </c>
      <c r="K13" s="27"/>
      <c r="L13" s="33"/>
      <c r="M13" s="27"/>
      <c r="N13" s="27"/>
      <c r="O13" s="21">
        <f>STEYX(N:N,M:M)</f>
        <v>3.9859269612329822</v>
      </c>
      <c r="P13" s="27"/>
    </row>
    <row r="14" spans="1:19">
      <c r="A14" s="27"/>
      <c r="D14" s="12">
        <f t="shared" si="4"/>
        <v>1600</v>
      </c>
      <c r="E14" s="24">
        <f t="shared" si="0"/>
        <v>6.394780791238766</v>
      </c>
      <c r="F14" s="12">
        <f t="shared" si="5"/>
        <v>1600</v>
      </c>
      <c r="G14" s="24">
        <f t="shared" si="1"/>
        <v>2.617984752131354</v>
      </c>
      <c r="H14" s="12">
        <f t="shared" si="6"/>
        <v>1600</v>
      </c>
      <c r="I14" s="24">
        <f t="shared" si="2"/>
        <v>7.7276012811712951</v>
      </c>
      <c r="K14" s="27"/>
      <c r="L14" s="33"/>
      <c r="M14" s="27"/>
      <c r="N14" s="27"/>
      <c r="O14" s="40" t="s">
        <v>9</v>
      </c>
      <c r="P14" s="27"/>
      <c r="S14" s="1"/>
    </row>
    <row r="15" spans="1:19">
      <c r="D15" s="12">
        <f t="shared" si="4"/>
        <v>1700</v>
      </c>
      <c r="E15" s="24">
        <f t="shared" si="0"/>
        <v>7.017993264489415</v>
      </c>
      <c r="F15" s="12">
        <f t="shared" si="5"/>
        <v>1700</v>
      </c>
      <c r="G15" s="24">
        <f t="shared" si="1"/>
        <v>2.9133728672619306</v>
      </c>
      <c r="H15" s="12">
        <f t="shared" si="6"/>
        <v>1700</v>
      </c>
      <c r="I15" s="24">
        <f t="shared" si="2"/>
        <v>7.3958505292525887</v>
      </c>
      <c r="K15" s="27"/>
      <c r="L15" s="33"/>
      <c r="M15" s="27"/>
      <c r="N15" s="27"/>
      <c r="O15" s="38" t="s">
        <v>12</v>
      </c>
      <c r="P15" s="27"/>
      <c r="S15" s="14"/>
    </row>
    <row r="16" spans="1:19">
      <c r="D16" s="12">
        <f t="shared" si="4"/>
        <v>1800</v>
      </c>
      <c r="E16" s="24">
        <f t="shared" si="0"/>
        <v>7.5360431558650962</v>
      </c>
      <c r="F16" s="12">
        <f t="shared" si="5"/>
        <v>1800</v>
      </c>
      <c r="G16" s="24">
        <f t="shared" si="1"/>
        <v>3.2433595255381227</v>
      </c>
      <c r="H16" s="12">
        <f t="shared" si="6"/>
        <v>1800</v>
      </c>
      <c r="I16" s="24">
        <f t="shared" si="2"/>
        <v>7.0097105556934913</v>
      </c>
      <c r="K16" s="27"/>
      <c r="L16" s="33"/>
      <c r="M16" s="27"/>
      <c r="N16" s="27"/>
      <c r="O16" s="21">
        <f>STEYX(N:N,M:M)*SQRT(COUNT(M:M)/(COUNT(M:M)*SUMSQ(M:M)-SUM(M:M)^2))</f>
        <v>2.4890076100715151E-3</v>
      </c>
      <c r="P16" s="27"/>
    </row>
    <row r="17" spans="4:19">
      <c r="D17" s="12">
        <f t="shared" si="4"/>
        <v>1900</v>
      </c>
      <c r="E17" s="24">
        <f t="shared" si="0"/>
        <v>7.8779308735991656</v>
      </c>
      <c r="F17" s="12">
        <f t="shared" si="5"/>
        <v>1900</v>
      </c>
      <c r="G17" s="24">
        <f t="shared" si="1"/>
        <v>3.6133429529709997</v>
      </c>
      <c r="H17" s="12">
        <f t="shared" si="6"/>
        <v>1900</v>
      </c>
      <c r="I17" s="24">
        <f t="shared" si="2"/>
        <v>6.6097346303414692</v>
      </c>
      <c r="K17" s="27"/>
      <c r="L17" s="33"/>
      <c r="M17" s="27"/>
      <c r="N17" s="27"/>
      <c r="O17" s="40" t="s">
        <v>10</v>
      </c>
      <c r="P17" s="27"/>
      <c r="S17" s="1"/>
    </row>
    <row r="18" spans="4:19">
      <c r="D18" s="12">
        <f t="shared" si="4"/>
        <v>2000</v>
      </c>
      <c r="E18" s="24">
        <f t="shared" si="0"/>
        <v>7.9998106717135844</v>
      </c>
      <c r="F18" s="12">
        <f t="shared" si="5"/>
        <v>2000</v>
      </c>
      <c r="G18" s="24">
        <f t="shared" si="1"/>
        <v>4.0287615007689066</v>
      </c>
      <c r="H18" s="12">
        <f t="shared" si="6"/>
        <v>2000</v>
      </c>
      <c r="I18" s="24">
        <f t="shared" si="2"/>
        <v>6.2202876695055647</v>
      </c>
      <c r="K18" s="27"/>
      <c r="L18" s="33"/>
      <c r="M18" s="27"/>
      <c r="N18" s="27"/>
      <c r="O18" s="38" t="s">
        <v>12</v>
      </c>
      <c r="P18" s="27"/>
      <c r="S18" s="14"/>
    </row>
    <row r="19" spans="4:19" ht="21.75" thickBot="1">
      <c r="D19" s="12">
        <f t="shared" si="4"/>
        <v>2100</v>
      </c>
      <c r="E19" s="24">
        <f t="shared" si="0"/>
        <v>7.906017131693754</v>
      </c>
      <c r="F19" s="12">
        <f t="shared" si="5"/>
        <v>2100</v>
      </c>
      <c r="G19" s="24">
        <f t="shared" si="1"/>
        <v>4.4941704456843556</v>
      </c>
      <c r="H19" s="12">
        <f t="shared" si="6"/>
        <v>2100</v>
      </c>
      <c r="I19" s="24">
        <f t="shared" si="2"/>
        <v>5.853946755947276</v>
      </c>
      <c r="K19" s="27"/>
      <c r="L19" s="33"/>
      <c r="M19" s="27"/>
      <c r="N19" s="27"/>
      <c r="O19" s="22">
        <f>STEYX(N:N,M:M)*SQRT(SUMSQ(M:M)/(COUNT(M:M)*SUMSQ(M:M)-SUM(M:M)^2))</f>
        <v>8.5439970766768614</v>
      </c>
      <c r="P19" s="27"/>
    </row>
    <row r="20" spans="4:19">
      <c r="D20" s="12">
        <f t="shared" si="4"/>
        <v>2200</v>
      </c>
      <c r="E20" s="24">
        <f t="shared" si="0"/>
        <v>7.6434178071748882</v>
      </c>
      <c r="F20" s="12">
        <f t="shared" si="5"/>
        <v>2200</v>
      </c>
      <c r="G20" s="24">
        <f t="shared" si="1"/>
        <v>5.0114056241542411</v>
      </c>
      <c r="H20" s="12">
        <f t="shared" si="6"/>
        <v>2200</v>
      </c>
      <c r="I20" s="24">
        <f t="shared" si="2"/>
        <v>5.5158947416843853</v>
      </c>
      <c r="K20" s="27"/>
      <c r="L20" s="33"/>
      <c r="M20" s="27"/>
      <c r="N20" s="27"/>
      <c r="O20" s="27"/>
      <c r="P20" s="27"/>
    </row>
    <row r="21" spans="4:19">
      <c r="D21" s="12">
        <f t="shared" si="4"/>
        <v>2300</v>
      </c>
      <c r="E21" s="24">
        <f t="shared" si="0"/>
        <v>7.2758910863613258</v>
      </c>
      <c r="F21" s="12">
        <f t="shared" si="5"/>
        <v>2300</v>
      </c>
      <c r="G21" s="24">
        <f t="shared" si="1"/>
        <v>5.5763059322327138</v>
      </c>
      <c r="H21" s="12">
        <f t="shared" si="6"/>
        <v>2300</v>
      </c>
      <c r="I21" s="24">
        <f t="shared" si="2"/>
        <v>5.2071233837570912</v>
      </c>
      <c r="K21" s="27"/>
      <c r="L21" s="33"/>
      <c r="M21" s="27"/>
      <c r="N21" s="27"/>
      <c r="O21" s="27"/>
      <c r="P21" s="27"/>
    </row>
    <row r="22" spans="4:19">
      <c r="D22" s="12">
        <f t="shared" si="4"/>
        <v>2400</v>
      </c>
      <c r="E22" s="24">
        <f t="shared" si="0"/>
        <v>6.8606850857031327</v>
      </c>
      <c r="F22" s="12">
        <f t="shared" si="5"/>
        <v>2400</v>
      </c>
      <c r="G22" s="24">
        <f t="shared" si="1"/>
        <v>6.1736163637327284</v>
      </c>
      <c r="H22" s="12">
        <f t="shared" si="6"/>
        <v>2400</v>
      </c>
      <c r="I22" s="24">
        <f t="shared" si="2"/>
        <v>4.9264589252341473</v>
      </c>
      <c r="K22" s="27"/>
      <c r="L22" s="33"/>
      <c r="M22" s="27"/>
      <c r="N22" s="27"/>
      <c r="O22" s="27"/>
      <c r="P22" s="27"/>
    </row>
    <row r="23" spans="4:19">
      <c r="D23" s="12">
        <f t="shared" si="4"/>
        <v>2500</v>
      </c>
      <c r="E23" s="24">
        <f t="shared" si="0"/>
        <v>6.4381304381570388</v>
      </c>
      <c r="F23" s="12">
        <f t="shared" si="5"/>
        <v>2500</v>
      </c>
      <c r="G23" s="24">
        <f t="shared" si="1"/>
        <v>6.7707586807462627</v>
      </c>
      <c r="H23" s="12">
        <f t="shared" si="6"/>
        <v>2500</v>
      </c>
      <c r="I23" s="24">
        <f t="shared" si="2"/>
        <v>4.6717420037275073</v>
      </c>
      <c r="K23" s="27"/>
      <c r="L23" s="33"/>
      <c r="M23" s="27"/>
      <c r="N23" s="27"/>
      <c r="O23" s="27"/>
      <c r="P23" s="27"/>
    </row>
    <row r="24" spans="4:19">
      <c r="D24" s="12">
        <f t="shared" si="4"/>
        <v>2600</v>
      </c>
      <c r="E24" s="24">
        <f t="shared" si="0"/>
        <v>6.032007618608163</v>
      </c>
      <c r="F24" s="12">
        <f t="shared" si="5"/>
        <v>2600</v>
      </c>
      <c r="G24" s="24">
        <f t="shared" si="1"/>
        <v>7.3139385960712584</v>
      </c>
      <c r="H24" s="12">
        <f t="shared" si="6"/>
        <v>2600</v>
      </c>
      <c r="I24" s="24">
        <f t="shared" si="2"/>
        <v>4.4404754253024876</v>
      </c>
      <c r="K24" s="27"/>
      <c r="L24" s="33"/>
      <c r="M24" s="27"/>
      <c r="N24" s="27"/>
      <c r="O24" s="27"/>
      <c r="P24" s="27"/>
    </row>
    <row r="25" spans="4:19">
      <c r="D25" s="12">
        <f t="shared" si="4"/>
        <v>2700</v>
      </c>
      <c r="E25" s="24">
        <f t="shared" si="0"/>
        <v>5.6540470361239086</v>
      </c>
      <c r="F25" s="12">
        <f t="shared" si="5"/>
        <v>2700</v>
      </c>
      <c r="G25" s="24">
        <f t="shared" si="1"/>
        <v>7.7336829354241106</v>
      </c>
      <c r="H25" s="12">
        <f t="shared" si="6"/>
        <v>2700</v>
      </c>
      <c r="I25" s="24">
        <f t="shared" si="2"/>
        <v>4.2301596829260495</v>
      </c>
      <c r="K25" s="27"/>
      <c r="L25" s="33"/>
      <c r="M25" s="27"/>
      <c r="N25" s="27"/>
      <c r="O25" s="27"/>
      <c r="P25" s="27"/>
    </row>
    <row r="26" spans="4:19">
      <c r="D26" s="12">
        <f t="shared" si="4"/>
        <v>2800</v>
      </c>
      <c r="E26" s="24">
        <f t="shared" si="0"/>
        <v>5.3085092974995298</v>
      </c>
      <c r="F26" s="12">
        <f t="shared" si="5"/>
        <v>2800</v>
      </c>
      <c r="G26" s="24">
        <f t="shared" si="1"/>
        <v>7.9655922578746505</v>
      </c>
      <c r="H26" s="12">
        <f t="shared" si="6"/>
        <v>2800</v>
      </c>
      <c r="I26" s="24">
        <f t="shared" si="2"/>
        <v>4.038453118484461</v>
      </c>
      <c r="K26" s="27"/>
      <c r="L26" s="33"/>
      <c r="M26" s="27"/>
      <c r="N26" s="27"/>
      <c r="O26" s="27"/>
      <c r="P26" s="27"/>
    </row>
    <row r="27" spans="4:19">
      <c r="D27" s="12">
        <f t="shared" si="4"/>
        <v>2900</v>
      </c>
      <c r="E27" s="24">
        <f t="shared" si="0"/>
        <v>4.9955215246114788</v>
      </c>
      <c r="F27" s="12">
        <f t="shared" si="5"/>
        <v>2900</v>
      </c>
      <c r="G27" s="24">
        <f t="shared" si="1"/>
        <v>7.9790877170922547</v>
      </c>
      <c r="H27" s="12">
        <f t="shared" si="6"/>
        <v>2900</v>
      </c>
      <c r="I27" s="24">
        <f t="shared" si="2"/>
        <v>3.8632370046049727</v>
      </c>
      <c r="K27" s="27"/>
      <c r="L27" s="33"/>
      <c r="M27" s="27"/>
      <c r="N27" s="27"/>
      <c r="O27" s="27"/>
      <c r="P27" s="27"/>
    </row>
    <row r="28" spans="4:19">
      <c r="D28" s="12">
        <f t="shared" si="4"/>
        <v>3000</v>
      </c>
      <c r="E28" s="24">
        <f t="shared" si="0"/>
        <v>4.7131654977077524</v>
      </c>
      <c r="F28" s="12">
        <f t="shared" si="5"/>
        <v>3000</v>
      </c>
      <c r="G28" s="24">
        <f t="shared" si="1"/>
        <v>7.7923127611588816</v>
      </c>
      <c r="H28" s="12">
        <f t="shared" si="6"/>
        <v>3000</v>
      </c>
      <c r="I28" s="24">
        <f t="shared" si="2"/>
        <v>3.7026310191074527</v>
      </c>
      <c r="K28" s="27"/>
      <c r="L28" s="33"/>
      <c r="M28" s="27"/>
      <c r="N28" s="27"/>
      <c r="O28" s="27"/>
      <c r="P28" s="27"/>
    </row>
    <row r="29" spans="4:19">
      <c r="D29" s="12">
        <f t="shared" si="4"/>
        <v>3100</v>
      </c>
      <c r="E29" s="24">
        <f t="shared" si="0"/>
        <v>4.4586722676072537</v>
      </c>
      <c r="F29" s="12">
        <f t="shared" si="5"/>
        <v>3100</v>
      </c>
      <c r="G29" s="24">
        <f t="shared" si="1"/>
        <v>7.4598181311814402</v>
      </c>
      <c r="H29" s="12">
        <f t="shared" si="6"/>
        <v>3100</v>
      </c>
      <c r="I29" s="24">
        <f t="shared" si="2"/>
        <v>3.5549842639316069</v>
      </c>
      <c r="K29" s="27"/>
      <c r="L29" s="33"/>
      <c r="M29" s="27"/>
      <c r="N29" s="27"/>
      <c r="O29" s="27"/>
      <c r="P29" s="27"/>
    </row>
    <row r="30" spans="4:19">
      <c r="D30" s="12">
        <f t="shared" si="4"/>
        <v>3200</v>
      </c>
      <c r="E30" s="24">
        <f t="shared" si="0"/>
        <v>4.2290603267608571</v>
      </c>
      <c r="F30" s="12">
        <f t="shared" si="5"/>
        <v>3200</v>
      </c>
      <c r="G30" s="24">
        <f t="shared" si="1"/>
        <v>7.0456160652805861</v>
      </c>
      <c r="H30" s="12">
        <f t="shared" si="6"/>
        <v>3200</v>
      </c>
      <c r="I30" s="24">
        <f t="shared" si="2"/>
        <v>3.4188554424758735</v>
      </c>
      <c r="K30" s="27"/>
      <c r="L30" s="33"/>
      <c r="M30" s="27"/>
      <c r="N30" s="27"/>
      <c r="O30" s="27"/>
      <c r="P30" s="27"/>
    </row>
    <row r="31" spans="4:19">
      <c r="D31" s="12">
        <f t="shared" si="4"/>
        <v>3300</v>
      </c>
      <c r="E31" s="24">
        <f t="shared" si="0"/>
        <v>4.0214523278702607</v>
      </c>
      <c r="F31" s="12">
        <f t="shared" si="5"/>
        <v>3300</v>
      </c>
      <c r="G31" s="24">
        <f t="shared" si="1"/>
        <v>6.6025941212895525</v>
      </c>
      <c r="H31" s="12">
        <f t="shared" si="6"/>
        <v>3300</v>
      </c>
      <c r="I31" s="24">
        <f t="shared" si="2"/>
        <v>3.2929893694701642</v>
      </c>
      <c r="K31" s="27"/>
      <c r="L31" s="33"/>
      <c r="M31" s="27"/>
      <c r="N31" s="27"/>
      <c r="O31" s="27"/>
      <c r="P31" s="27"/>
    </row>
    <row r="32" spans="4:19">
      <c r="D32" s="12">
        <f t="shared" si="4"/>
        <v>3400</v>
      </c>
      <c r="E32" s="24">
        <f t="shared" si="0"/>
        <v>3.8332150636625082</v>
      </c>
      <c r="F32" s="12">
        <f t="shared" si="5"/>
        <v>3400</v>
      </c>
      <c r="G32" s="24">
        <f t="shared" si="1"/>
        <v>6.1656907645974881</v>
      </c>
      <c r="H32" s="12">
        <f t="shared" si="6"/>
        <v>3400</v>
      </c>
      <c r="I32" s="24">
        <f t="shared" si="2"/>
        <v>3.1762934400373988</v>
      </c>
      <c r="K32" s="27"/>
      <c r="L32" s="33"/>
      <c r="M32" s="27"/>
      <c r="N32" s="27"/>
      <c r="O32" s="27"/>
      <c r="P32" s="27"/>
    </row>
    <row r="33" spans="4:16">
      <c r="D33" s="12">
        <f t="shared" si="4"/>
        <v>3500</v>
      </c>
      <c r="E33" s="24">
        <f t="shared" si="0"/>
        <v>3.6620063450440026</v>
      </c>
      <c r="F33" s="12">
        <f t="shared" si="5"/>
        <v>3500</v>
      </c>
      <c r="G33" s="24">
        <f t="shared" si="1"/>
        <v>5.7541075258041552</v>
      </c>
      <c r="H33" s="12">
        <f t="shared" si="6"/>
        <v>3500</v>
      </c>
      <c r="I33" s="24">
        <f t="shared" si="2"/>
        <v>3.0678157574815241</v>
      </c>
      <c r="K33" s="27"/>
      <c r="L33" s="33"/>
      <c r="M33" s="27"/>
      <c r="N33" s="27"/>
      <c r="O33" s="27"/>
      <c r="P33" s="27"/>
    </row>
    <row r="34" spans="4:16">
      <c r="D34" s="12">
        <f t="shared" si="4"/>
        <v>3600</v>
      </c>
      <c r="E34" s="24">
        <f t="shared" si="0"/>
        <v>3.5057753064366932</v>
      </c>
      <c r="F34" s="12">
        <f t="shared" si="5"/>
        <v>3600</v>
      </c>
      <c r="G34" s="24">
        <f t="shared" si="1"/>
        <v>5.3762685343484344</v>
      </c>
      <c r="H34" s="12">
        <f t="shared" si="6"/>
        <v>3600</v>
      </c>
      <c r="I34" s="24">
        <f t="shared" si="2"/>
        <v>2.966725592650493</v>
      </c>
      <c r="K34" s="27"/>
      <c r="L34" s="33"/>
      <c r="M34" s="27"/>
      <c r="N34" s="27"/>
      <c r="O34" s="27"/>
      <c r="P34" s="27"/>
    </row>
    <row r="35" spans="4:16">
      <c r="D35" s="12">
        <f t="shared" si="4"/>
        <v>3700</v>
      </c>
      <c r="E35" s="24">
        <f t="shared" si="0"/>
        <v>3.362741298865807</v>
      </c>
      <c r="F35" s="12">
        <f t="shared" si="5"/>
        <v>3700</v>
      </c>
      <c r="G35" s="24">
        <f t="shared" si="1"/>
        <v>5.0342347486999346</v>
      </c>
      <c r="H35" s="12">
        <f t="shared" si="6"/>
        <v>3700</v>
      </c>
      <c r="I35" s="24">
        <f t="shared" si="2"/>
        <v>2.8722963178008634</v>
      </c>
      <c r="K35" s="27"/>
      <c r="L35" s="33"/>
      <c r="M35" s="27"/>
      <c r="N35" s="27"/>
      <c r="O35" s="27"/>
      <c r="P35" s="27"/>
    </row>
    <row r="36" spans="4:16">
      <c r="D36" s="12">
        <f t="shared" si="4"/>
        <v>3800</v>
      </c>
      <c r="E36" s="24">
        <f t="shared" si="0"/>
        <v>3.2313645938853282</v>
      </c>
      <c r="F36" s="12">
        <f t="shared" si="5"/>
        <v>3800</v>
      </c>
      <c r="G36" s="24">
        <f t="shared" si="1"/>
        <v>4.7267299229582314</v>
      </c>
      <c r="H36" s="12">
        <f t="shared" si="6"/>
        <v>3800</v>
      </c>
      <c r="I36" s="24">
        <f t="shared" si="2"/>
        <v>2.7838906994948629</v>
      </c>
      <c r="K36" s="27"/>
      <c r="L36" s="33"/>
      <c r="M36" s="27"/>
      <c r="N36" s="27"/>
      <c r="O36" s="27"/>
      <c r="P36" s="27"/>
    </row>
    <row r="37" spans="4:16">
      <c r="D37" s="12">
        <f t="shared" si="4"/>
        <v>3900</v>
      </c>
      <c r="E37" s="24">
        <f t="shared" si="0"/>
        <v>3.1103155846819086</v>
      </c>
      <c r="F37" s="12">
        <f t="shared" si="5"/>
        <v>3900</v>
      </c>
      <c r="G37" s="24">
        <f t="shared" si="1"/>
        <v>4.4509587255656067</v>
      </c>
      <c r="H37" s="12">
        <f t="shared" si="6"/>
        <v>3900</v>
      </c>
      <c r="I37" s="24">
        <f t="shared" si="2"/>
        <v>2.7009483229139373</v>
      </c>
      <c r="K37" s="27"/>
      <c r="L37" s="33"/>
      <c r="M37" s="27"/>
      <c r="N37" s="27"/>
      <c r="O37" s="27"/>
      <c r="P37" s="27"/>
    </row>
    <row r="38" spans="4:16">
      <c r="D38" s="12">
        <f t="shared" si="4"/>
        <v>4000</v>
      </c>
      <c r="E38" s="24">
        <f t="shared" si="0"/>
        <v>2.9984456524526686</v>
      </c>
      <c r="F38" s="12">
        <f t="shared" si="5"/>
        <v>4000</v>
      </c>
      <c r="G38" s="24">
        <f t="shared" si="1"/>
        <v>4.2036092817818655</v>
      </c>
      <c r="H38" s="12">
        <f t="shared" si="6"/>
        <v>4000</v>
      </c>
      <c r="I38" s="24">
        <f t="shared" si="2"/>
        <v>2.622974884663265</v>
      </c>
      <c r="K38" s="27"/>
      <c r="L38" s="33"/>
      <c r="M38" s="27"/>
      <c r="N38" s="27"/>
      <c r="O38" s="27"/>
      <c r="P38" s="27"/>
    </row>
    <row r="39" spans="4:16">
      <c r="D39" s="12">
        <f t="shared" si="4"/>
        <v>4100</v>
      </c>
      <c r="E39" s="24">
        <f t="shared" si="0"/>
        <v>2.894761010623474</v>
      </c>
      <c r="F39" s="12">
        <f t="shared" si="5"/>
        <v>4100</v>
      </c>
      <c r="G39" s="24">
        <f t="shared" si="1"/>
        <v>3.9813658000732559</v>
      </c>
      <c r="H39" s="12">
        <f t="shared" si="6"/>
        <v>4100</v>
      </c>
      <c r="I39" s="24">
        <f t="shared" si="2"/>
        <v>2.5495330944564203</v>
      </c>
      <c r="K39" s="27"/>
      <c r="L39" s="33"/>
      <c r="M39" s="27"/>
      <c r="N39" s="27"/>
      <c r="O39" s="27"/>
      <c r="P39" s="27"/>
    </row>
    <row r="40" spans="4:16">
      <c r="K40" s="27"/>
      <c r="L40" s="33"/>
      <c r="M40" s="27"/>
      <c r="N40" s="27"/>
      <c r="O40" s="27"/>
      <c r="P40" s="27"/>
    </row>
    <row r="41" spans="4:16">
      <c r="K41" s="27"/>
      <c r="L41" s="33"/>
      <c r="M41" s="27"/>
      <c r="N41" s="27"/>
      <c r="O41" s="27"/>
      <c r="P41" s="27"/>
    </row>
    <row r="42" spans="4:16">
      <c r="K42" s="27"/>
      <c r="L42" s="33"/>
      <c r="M42" s="27"/>
      <c r="N42" s="27"/>
      <c r="O42" s="27"/>
      <c r="P42" s="27"/>
    </row>
    <row r="43" spans="4:16">
      <c r="K43" s="27"/>
      <c r="L43" s="33"/>
      <c r="M43" s="27"/>
      <c r="N43" s="27"/>
      <c r="O43" s="27"/>
      <c r="P43" s="27"/>
    </row>
    <row r="44" spans="4:16">
      <c r="K44" s="27"/>
      <c r="L44" s="33"/>
      <c r="M44" s="27"/>
      <c r="N44" s="27"/>
      <c r="O44" s="27"/>
      <c r="P44" s="27"/>
    </row>
    <row r="45" spans="4:16">
      <c r="K45" s="27"/>
      <c r="L45" s="33"/>
      <c r="M45" s="27"/>
      <c r="N45" s="27"/>
      <c r="O45" s="27"/>
      <c r="P45" s="27"/>
    </row>
  </sheetData>
  <mergeCells count="3">
    <mergeCell ref="D1:E1"/>
    <mergeCell ref="F1:G1"/>
    <mergeCell ref="H1:I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ColWidth="8.710937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93"/>
  <sheetViews>
    <sheetView workbookViewId="0">
      <selection activeCell="N8" sqref="N8"/>
    </sheetView>
  </sheetViews>
  <sheetFormatPr defaultColWidth="8.7109375" defaultRowHeight="15"/>
  <cols>
    <col min="1" max="1" width="9.140625" customWidth="1"/>
    <col min="4" max="4" width="9.7109375" customWidth="1"/>
    <col min="17" max="17" width="7.140625" customWidth="1"/>
    <col min="18" max="18" width="6.7109375" customWidth="1"/>
  </cols>
  <sheetData>
    <row r="1" spans="1:22" ht="19.5" thickBot="1">
      <c r="A1" s="48" t="s">
        <v>2</v>
      </c>
      <c r="B1" s="50"/>
      <c r="C1" s="1" t="s">
        <v>48</v>
      </c>
      <c r="D1" s="1" t="s">
        <v>4</v>
      </c>
      <c r="E1" s="48" t="s">
        <v>5</v>
      </c>
      <c r="F1" s="50"/>
      <c r="G1" s="1" t="s">
        <v>48</v>
      </c>
      <c r="H1" s="1" t="s">
        <v>18</v>
      </c>
      <c r="I1" s="1" t="s">
        <v>4</v>
      </c>
      <c r="K1" s="45" t="s">
        <v>92</v>
      </c>
      <c r="L1" s="46"/>
      <c r="M1" s="47"/>
      <c r="P1" s="52" t="s">
        <v>64</v>
      </c>
      <c r="Q1" s="53"/>
      <c r="R1" s="53"/>
      <c r="S1" s="54"/>
    </row>
    <row r="2" spans="1:22" ht="15.75" thickBot="1">
      <c r="A2" s="52" t="s">
        <v>65</v>
      </c>
      <c r="B2" s="54"/>
      <c r="C2" s="1" t="s">
        <v>12</v>
      </c>
      <c r="D2">
        <f>COUNT(C:C)</f>
        <v>8</v>
      </c>
      <c r="E2" s="52" t="s">
        <v>68</v>
      </c>
      <c r="F2" s="54"/>
      <c r="G2" s="1" t="s">
        <v>12</v>
      </c>
      <c r="H2" s="1" t="s">
        <v>67</v>
      </c>
      <c r="I2">
        <f>IF(COUNT(G:G)=COUNT(H:H),COUNT(G:G), "Your numbers do not match!")</f>
        <v>14</v>
      </c>
      <c r="K2" t="s">
        <v>93</v>
      </c>
      <c r="P2" s="48" t="s">
        <v>91</v>
      </c>
      <c r="Q2" s="49"/>
      <c r="R2" s="49"/>
      <c r="S2" s="50"/>
    </row>
    <row r="3" spans="1:22" ht="15.75" thickBot="1">
      <c r="B3" s="3" t="s">
        <v>66</v>
      </c>
      <c r="C3">
        <v>75.841372655993013</v>
      </c>
      <c r="D3" s="2" t="s">
        <v>11</v>
      </c>
      <c r="F3" s="3" t="s">
        <v>66</v>
      </c>
      <c r="G3">
        <v>-7</v>
      </c>
      <c r="H3">
        <v>4.0370950262279859</v>
      </c>
      <c r="I3" s="1" t="s">
        <v>6</v>
      </c>
      <c r="K3" s="45" t="s">
        <v>119</v>
      </c>
      <c r="L3" s="46"/>
      <c r="M3" s="47"/>
      <c r="P3" s="5" t="s">
        <v>19</v>
      </c>
      <c r="Q3" s="4" t="s">
        <v>19</v>
      </c>
      <c r="R3" s="5" t="s">
        <v>20</v>
      </c>
      <c r="S3" s="4" t="s">
        <v>20</v>
      </c>
      <c r="T3" s="45" t="s">
        <v>94</v>
      </c>
      <c r="U3" s="46"/>
      <c r="V3" s="47"/>
    </row>
    <row r="4" spans="1:22">
      <c r="A4" s="6" t="s">
        <v>101</v>
      </c>
      <c r="B4" s="6"/>
      <c r="C4">
        <v>75.909404692323847</v>
      </c>
      <c r="D4" s="1" t="s">
        <v>12</v>
      </c>
      <c r="G4">
        <v>-6</v>
      </c>
      <c r="H4">
        <v>4.8774205884120025</v>
      </c>
      <c r="I4" s="1" t="s">
        <v>12</v>
      </c>
      <c r="K4" t="s">
        <v>120</v>
      </c>
      <c r="P4" s="5" t="s">
        <v>21</v>
      </c>
      <c r="Q4" s="4" t="s">
        <v>21</v>
      </c>
      <c r="R4" s="5" t="s">
        <v>22</v>
      </c>
      <c r="S4" s="4" t="s">
        <v>22</v>
      </c>
      <c r="T4" t="s">
        <v>95</v>
      </c>
    </row>
    <row r="5" spans="1:22" ht="15.75" thickBot="1">
      <c r="A5" s="6" t="s">
        <v>99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110</v>
      </c>
      <c r="L5">
        <f>ABS(-76)</f>
        <v>76</v>
      </c>
      <c r="P5" s="5" t="s">
        <v>24</v>
      </c>
      <c r="Q5" s="4" t="s">
        <v>24</v>
      </c>
      <c r="R5" s="5" t="s">
        <v>23</v>
      </c>
      <c r="S5" s="4" t="s">
        <v>23</v>
      </c>
      <c r="T5" t="s">
        <v>98</v>
      </c>
    </row>
    <row r="6" spans="1:22" ht="18.75" thickBot="1">
      <c r="A6" s="6" t="s">
        <v>100</v>
      </c>
      <c r="B6" s="7"/>
      <c r="C6">
        <v>76.765567972783728</v>
      </c>
      <c r="D6" s="1" t="s">
        <v>13</v>
      </c>
      <c r="G6">
        <v>-4</v>
      </c>
      <c r="H6">
        <v>7.0047465507883535</v>
      </c>
      <c r="I6" s="1" t="s">
        <v>7</v>
      </c>
      <c r="K6" s="45" t="s">
        <v>108</v>
      </c>
      <c r="L6" s="46"/>
      <c r="M6" s="47"/>
      <c r="P6" s="5" t="s">
        <v>25</v>
      </c>
      <c r="Q6" s="4" t="s">
        <v>25</v>
      </c>
      <c r="R6" s="5" t="s">
        <v>26</v>
      </c>
      <c r="S6" s="4" t="s">
        <v>26</v>
      </c>
      <c r="T6" t="s">
        <v>96</v>
      </c>
    </row>
    <row r="7" spans="1:22">
      <c r="A7" s="7" t="s">
        <v>97</v>
      </c>
      <c r="C7">
        <v>74.900457841958314</v>
      </c>
      <c r="D7" s="1" t="s">
        <v>12</v>
      </c>
      <c r="G7">
        <v>-3</v>
      </c>
      <c r="H7">
        <v>7.5561750040750884</v>
      </c>
      <c r="I7" s="1" t="s">
        <v>12</v>
      </c>
      <c r="K7" t="s">
        <v>109</v>
      </c>
      <c r="P7" s="5" t="s">
        <v>27</v>
      </c>
      <c r="Q7" s="4" t="s">
        <v>27</v>
      </c>
      <c r="R7" s="5" t="s">
        <v>28</v>
      </c>
      <c r="S7" s="4" t="s">
        <v>28</v>
      </c>
    </row>
    <row r="8" spans="1:22" ht="15.75" thickBot="1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110</v>
      </c>
      <c r="L8">
        <f>PI()</f>
        <v>3.1415926535897931</v>
      </c>
      <c r="P8" s="5" t="s">
        <v>15</v>
      </c>
      <c r="Q8" s="4" t="s">
        <v>15</v>
      </c>
      <c r="R8" s="5" t="s">
        <v>31</v>
      </c>
      <c r="S8" s="4" t="s">
        <v>31</v>
      </c>
    </row>
    <row r="9" spans="1:22" ht="19.5" thickBot="1">
      <c r="C9">
        <v>77.399112005079715</v>
      </c>
      <c r="D9" s="1" t="s">
        <v>14</v>
      </c>
      <c r="G9">
        <v>-1</v>
      </c>
      <c r="H9">
        <v>10.520366828017425</v>
      </c>
      <c r="I9" s="1" t="s">
        <v>8</v>
      </c>
      <c r="K9" s="45" t="s">
        <v>113</v>
      </c>
      <c r="L9" s="46"/>
      <c r="M9" s="47"/>
      <c r="P9" s="5" t="s">
        <v>29</v>
      </c>
      <c r="Q9" s="4" t="s">
        <v>29</v>
      </c>
      <c r="R9" s="5" t="s">
        <v>30</v>
      </c>
      <c r="S9" s="4" t="s">
        <v>30</v>
      </c>
    </row>
    <row r="10" spans="1:22">
      <c r="C10">
        <v>75.285165308579593</v>
      </c>
      <c r="D10" s="1" t="s">
        <v>12</v>
      </c>
      <c r="G10">
        <v>0</v>
      </c>
      <c r="H10">
        <v>11.409684720206235</v>
      </c>
      <c r="I10">
        <f>RSQ(H:H,G:G)</f>
        <v>0.99068377098326721</v>
      </c>
      <c r="K10" t="s">
        <v>114</v>
      </c>
      <c r="P10" s="5" t="s">
        <v>32</v>
      </c>
      <c r="Q10" s="4" t="s">
        <v>32</v>
      </c>
      <c r="R10" s="5" t="s">
        <v>33</v>
      </c>
      <c r="S10" s="4" t="s">
        <v>33</v>
      </c>
    </row>
    <row r="11" spans="1:22" ht="18">
      <c r="D11">
        <f>D8/SQRT(D2)</f>
        <v>0.31789802897580421</v>
      </c>
      <c r="G11">
        <v>1</v>
      </c>
      <c r="H11">
        <v>11.411658876545815</v>
      </c>
      <c r="I11" s="1" t="s">
        <v>16</v>
      </c>
      <c r="K11" t="s">
        <v>110</v>
      </c>
      <c r="L11">
        <f>$G3</f>
        <v>-7</v>
      </c>
      <c r="M11">
        <f>$G3</f>
        <v>-7</v>
      </c>
      <c r="P11" s="5" t="s">
        <v>34</v>
      </c>
      <c r="Q11" s="4" t="s">
        <v>34</v>
      </c>
      <c r="R11" s="5" t="s">
        <v>35</v>
      </c>
      <c r="S11" s="4" t="s">
        <v>35</v>
      </c>
    </row>
    <row r="12" spans="1:22">
      <c r="G12">
        <v>2</v>
      </c>
      <c r="H12">
        <v>13.632746451992071</v>
      </c>
      <c r="I12" s="1" t="s">
        <v>12</v>
      </c>
      <c r="L12">
        <f>$G4</f>
        <v>-6</v>
      </c>
      <c r="M12">
        <f>$G4</f>
        <v>-6</v>
      </c>
      <c r="P12" s="5" t="s">
        <v>39</v>
      </c>
      <c r="Q12" s="4" t="s">
        <v>39</v>
      </c>
      <c r="R12" s="5" t="s">
        <v>36</v>
      </c>
      <c r="S12" s="4" t="s">
        <v>36</v>
      </c>
    </row>
    <row r="13" spans="1:22">
      <c r="C13" s="51" t="s">
        <v>111</v>
      </c>
      <c r="G13">
        <v>3</v>
      </c>
      <c r="H13">
        <v>14.774417429235491</v>
      </c>
      <c r="I13">
        <f>STEYX(H:H,G:G)</f>
        <v>0.43486665904435412</v>
      </c>
      <c r="K13" t="s">
        <v>115</v>
      </c>
      <c r="P13" s="5" t="s">
        <v>37</v>
      </c>
      <c r="Q13" s="4" t="s">
        <v>37</v>
      </c>
      <c r="R13" s="5" t="s">
        <v>38</v>
      </c>
      <c r="S13" s="4" t="s">
        <v>38</v>
      </c>
    </row>
    <row r="14" spans="1:22" ht="18" customHeight="1">
      <c r="C14" s="51"/>
      <c r="G14">
        <v>4</v>
      </c>
      <c r="H14">
        <v>14.696705397075091</v>
      </c>
      <c r="I14" s="1" t="s">
        <v>9</v>
      </c>
      <c r="K14" t="s">
        <v>110</v>
      </c>
      <c r="L14">
        <f>G$3</f>
        <v>-7</v>
      </c>
      <c r="M14">
        <f>H$3</f>
        <v>4.0370950262279859</v>
      </c>
      <c r="P14" s="5" t="s">
        <v>50</v>
      </c>
      <c r="Q14" s="4" t="s">
        <v>50</v>
      </c>
      <c r="R14" s="5" t="s">
        <v>51</v>
      </c>
      <c r="S14" s="4" t="s">
        <v>51</v>
      </c>
    </row>
    <row r="15" spans="1:22">
      <c r="C15" s="51"/>
      <c r="G15">
        <v>5</v>
      </c>
      <c r="H15">
        <v>15.874658660285826</v>
      </c>
      <c r="I15" s="1" t="s">
        <v>12</v>
      </c>
      <c r="L15">
        <f>G$3</f>
        <v>-7</v>
      </c>
      <c r="M15">
        <f>H$3</f>
        <v>4.0370950262279859</v>
      </c>
      <c r="P15" s="5" t="s">
        <v>0</v>
      </c>
      <c r="Q15" s="4" t="s">
        <v>0</v>
      </c>
      <c r="R15" s="5" t="s">
        <v>52</v>
      </c>
      <c r="S15" s="4" t="s">
        <v>52</v>
      </c>
    </row>
    <row r="16" spans="1:22">
      <c r="C16" s="51"/>
      <c r="G16">
        <v>6</v>
      </c>
      <c r="H16">
        <v>17.500884639387159</v>
      </c>
      <c r="I16">
        <f>I13*SQRT(I2/(I2*SUMSQ(G:G)-SUM(G:G)^2))</f>
        <v>2.8831378750456965E-2</v>
      </c>
      <c r="K16" t="s">
        <v>116</v>
      </c>
      <c r="P16" s="5" t="s">
        <v>40</v>
      </c>
      <c r="Q16" s="4" t="s">
        <v>40</v>
      </c>
      <c r="R16" s="5" t="s">
        <v>4</v>
      </c>
      <c r="S16" s="4" t="s">
        <v>4</v>
      </c>
    </row>
    <row r="17" spans="1:19" ht="18">
      <c r="I17" s="1" t="s">
        <v>10</v>
      </c>
      <c r="K17" t="s">
        <v>110</v>
      </c>
      <c r="L17">
        <f>$G$3</f>
        <v>-7</v>
      </c>
      <c r="M17">
        <f>$G$3</f>
        <v>-7</v>
      </c>
      <c r="P17" s="5" t="s">
        <v>41</v>
      </c>
      <c r="Q17" s="4" t="s">
        <v>41</v>
      </c>
      <c r="R17" s="5" t="s">
        <v>53</v>
      </c>
      <c r="S17" s="4" t="s">
        <v>53</v>
      </c>
    </row>
    <row r="18" spans="1:19" ht="15" customHeight="1">
      <c r="B18" s="8"/>
      <c r="C18" s="8"/>
      <c r="D18" s="8"/>
      <c r="I18" s="1" t="s">
        <v>12</v>
      </c>
      <c r="L18">
        <f>$G$3</f>
        <v>-7</v>
      </c>
      <c r="M18">
        <f>$G$3</f>
        <v>-7</v>
      </c>
      <c r="P18" s="5" t="s">
        <v>42</v>
      </c>
      <c r="Q18" s="4" t="s">
        <v>42</v>
      </c>
      <c r="R18" s="5" t="s">
        <v>54</v>
      </c>
      <c r="S18" s="4" t="s">
        <v>54</v>
      </c>
    </row>
    <row r="19" spans="1:19" ht="15" customHeight="1">
      <c r="A19" s="44" t="s">
        <v>118</v>
      </c>
      <c r="B19" s="44"/>
      <c r="C19" s="44"/>
      <c r="D19" s="44"/>
      <c r="G19" s="51" t="s">
        <v>112</v>
      </c>
      <c r="H19" s="51"/>
      <c r="I19">
        <f>I13*SQRT(SUMSQ(G:G)/(I2*SUMSQ(G:G)-SUM(G:G)^2))</f>
        <v>0.11711361411365875</v>
      </c>
      <c r="P19" s="5" t="s">
        <v>43</v>
      </c>
      <c r="Q19" s="4" t="s">
        <v>43</v>
      </c>
      <c r="R19" s="5" t="s">
        <v>55</v>
      </c>
      <c r="S19" s="4" t="s">
        <v>55</v>
      </c>
    </row>
    <row r="20" spans="1:19" ht="15.75" thickBot="1">
      <c r="A20" s="44"/>
      <c r="B20" s="44"/>
      <c r="C20" s="44"/>
      <c r="D20" s="44"/>
      <c r="G20" s="51"/>
      <c r="H20" s="51"/>
      <c r="P20" s="5" t="s">
        <v>3</v>
      </c>
      <c r="Q20" s="4" t="s">
        <v>3</v>
      </c>
      <c r="R20" s="5" t="s">
        <v>56</v>
      </c>
      <c r="S20" s="4" t="s">
        <v>56</v>
      </c>
    </row>
    <row r="21" spans="1:19" ht="15.75" thickBot="1">
      <c r="A21" s="44"/>
      <c r="B21" s="44"/>
      <c r="C21" s="44"/>
      <c r="D21" s="44"/>
      <c r="I21" s="45" t="s">
        <v>69</v>
      </c>
      <c r="J21" s="46"/>
      <c r="K21" s="47"/>
      <c r="P21" s="5" t="s">
        <v>44</v>
      </c>
      <c r="Q21" s="4" t="s">
        <v>44</v>
      </c>
      <c r="R21" s="5" t="s">
        <v>57</v>
      </c>
      <c r="S21" s="4" t="s">
        <v>57</v>
      </c>
    </row>
    <row r="22" spans="1:19">
      <c r="A22" s="44"/>
      <c r="B22" s="44"/>
      <c r="C22" s="44"/>
      <c r="D22" s="44"/>
      <c r="I22" t="s">
        <v>70</v>
      </c>
      <c r="P22" s="5" t="s">
        <v>17</v>
      </c>
      <c r="Q22" s="4" t="s">
        <v>17</v>
      </c>
      <c r="R22" s="5" t="s">
        <v>58</v>
      </c>
      <c r="S22" s="4" t="s">
        <v>58</v>
      </c>
    </row>
    <row r="23" spans="1:19">
      <c r="A23" s="44"/>
      <c r="B23" s="44"/>
      <c r="C23" s="44"/>
      <c r="D23" s="44"/>
      <c r="I23" t="s">
        <v>71</v>
      </c>
      <c r="P23" s="5" t="s">
        <v>45</v>
      </c>
      <c r="Q23" s="4" t="s">
        <v>45</v>
      </c>
      <c r="R23" s="5" t="s">
        <v>59</v>
      </c>
      <c r="S23" s="4" t="s">
        <v>59</v>
      </c>
    </row>
    <row r="24" spans="1:19">
      <c r="A24" t="s">
        <v>117</v>
      </c>
      <c r="I24" t="s">
        <v>72</v>
      </c>
      <c r="P24" s="5" t="s">
        <v>46</v>
      </c>
      <c r="Q24" s="4" t="s">
        <v>46</v>
      </c>
      <c r="R24" s="5" t="s">
        <v>1</v>
      </c>
      <c r="S24" s="4" t="s">
        <v>1</v>
      </c>
    </row>
    <row r="25" spans="1:19">
      <c r="A25" t="s">
        <v>103</v>
      </c>
      <c r="I25" t="s">
        <v>73</v>
      </c>
      <c r="P25" s="5" t="s">
        <v>47</v>
      </c>
      <c r="Q25" s="4" t="s">
        <v>47</v>
      </c>
      <c r="R25" s="5" t="s">
        <v>60</v>
      </c>
      <c r="S25" s="4" t="s">
        <v>60</v>
      </c>
    </row>
    <row r="26" spans="1:19">
      <c r="A26" t="s">
        <v>102</v>
      </c>
      <c r="P26" s="5" t="s">
        <v>48</v>
      </c>
      <c r="Q26" s="4" t="s">
        <v>48</v>
      </c>
      <c r="R26" s="5" t="s">
        <v>61</v>
      </c>
      <c r="S26" s="4" t="s">
        <v>61</v>
      </c>
    </row>
    <row r="27" spans="1:19">
      <c r="P27" s="5" t="s">
        <v>18</v>
      </c>
      <c r="Q27" s="4" t="s">
        <v>18</v>
      </c>
      <c r="R27" s="5" t="s">
        <v>62</v>
      </c>
      <c r="S27" s="4" t="s">
        <v>62</v>
      </c>
    </row>
    <row r="28" spans="1:19">
      <c r="A28" t="s">
        <v>104</v>
      </c>
      <c r="P28" s="5" t="s">
        <v>49</v>
      </c>
      <c r="Q28" s="4" t="s">
        <v>49</v>
      </c>
      <c r="R28" s="5" t="s">
        <v>63</v>
      </c>
      <c r="S28" s="4" t="s">
        <v>63</v>
      </c>
    </row>
    <row r="29" spans="1:19">
      <c r="A29" t="s">
        <v>105</v>
      </c>
    </row>
    <row r="35" spans="9:9">
      <c r="I35" t="s">
        <v>74</v>
      </c>
    </row>
    <row r="36" spans="9:9" ht="17.25">
      <c r="I36" t="s">
        <v>75</v>
      </c>
    </row>
    <row r="46" spans="9:9">
      <c r="I46" t="s">
        <v>76</v>
      </c>
    </row>
    <row r="47" spans="9:9">
      <c r="I47" t="s">
        <v>77</v>
      </c>
    </row>
    <row r="48" spans="9:9">
      <c r="I48" t="s">
        <v>78</v>
      </c>
    </row>
    <row r="49" spans="9:9">
      <c r="I49" t="s">
        <v>79</v>
      </c>
    </row>
    <row r="59" spans="9:9">
      <c r="I59" t="s">
        <v>80</v>
      </c>
    </row>
    <row r="60" spans="9:9">
      <c r="I60" t="s">
        <v>81</v>
      </c>
    </row>
    <row r="61" spans="9:9">
      <c r="I61" t="s">
        <v>82</v>
      </c>
    </row>
    <row r="71" spans="9:16">
      <c r="I71" t="s">
        <v>83</v>
      </c>
      <c r="M71" s="1" t="s">
        <v>48</v>
      </c>
      <c r="N71" s="1" t="s">
        <v>45</v>
      </c>
    </row>
    <row r="72" spans="9:16">
      <c r="I72" t="s">
        <v>87</v>
      </c>
      <c r="M72" s="1" t="s">
        <v>12</v>
      </c>
      <c r="N72" s="1" t="s">
        <v>67</v>
      </c>
    </row>
    <row r="73" spans="9:16">
      <c r="I73" t="s">
        <v>86</v>
      </c>
      <c r="M73">
        <v>-2</v>
      </c>
      <c r="N73">
        <v>2.1016753937718446</v>
      </c>
      <c r="O73" t="s">
        <v>107</v>
      </c>
      <c r="P73" t="s">
        <v>106</v>
      </c>
    </row>
    <row r="74" spans="9:16">
      <c r="I74" t="s">
        <v>84</v>
      </c>
      <c r="M74">
        <v>-1</v>
      </c>
      <c r="N74">
        <v>0.84031349029360847</v>
      </c>
    </row>
    <row r="75" spans="9:16">
      <c r="I75" t="s">
        <v>85</v>
      </c>
      <c r="M75">
        <v>0</v>
      </c>
      <c r="N75">
        <v>0.24456025181718824</v>
      </c>
    </row>
    <row r="76" spans="9:16">
      <c r="M76">
        <v>1</v>
      </c>
      <c r="N76">
        <v>-1.6291120609012069</v>
      </c>
    </row>
    <row r="77" spans="9:16">
      <c r="M77">
        <v>2</v>
      </c>
      <c r="N77">
        <v>-1.9941606398553142</v>
      </c>
    </row>
    <row r="91" spans="9:9">
      <c r="I91" t="s">
        <v>88</v>
      </c>
    </row>
    <row r="92" spans="9:9">
      <c r="I92" t="s">
        <v>89</v>
      </c>
    </row>
    <row r="93" spans="9:9">
      <c r="I93" t="s">
        <v>90</v>
      </c>
    </row>
  </sheetData>
  <mergeCells count="15">
    <mergeCell ref="K1:M1"/>
    <mergeCell ref="P1:S1"/>
    <mergeCell ref="A2:B2"/>
    <mergeCell ref="A1:B1"/>
    <mergeCell ref="E2:F2"/>
    <mergeCell ref="E1:F1"/>
    <mergeCell ref="A19:D23"/>
    <mergeCell ref="T3:V3"/>
    <mergeCell ref="K6:M6"/>
    <mergeCell ref="K9:M9"/>
    <mergeCell ref="P2:S2"/>
    <mergeCell ref="I21:K21"/>
    <mergeCell ref="C13:C16"/>
    <mergeCell ref="G19:H20"/>
    <mergeCell ref="K3:M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Help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Benjamin Giftakis</cp:lastModifiedBy>
  <dcterms:created xsi:type="dcterms:W3CDTF">2006-09-16T00:00:00Z</dcterms:created>
  <dcterms:modified xsi:type="dcterms:W3CDTF">2020-08-19T04:22:45Z</dcterms:modified>
</cp:coreProperties>
</file>