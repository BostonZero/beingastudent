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1- kinetic gas/"/>
    </mc:Choice>
  </mc:AlternateContent>
  <xr:revisionPtr revIDLastSave="195" documentId="13_ncr:1_{A5F68AB5-B591-D948-9E35-CB145440D3F5}" xr6:coauthVersionLast="45" xr6:coauthVersionMax="45" xr10:uidLastSave="{1C95BE01-2608-4B2D-BEDA-324ADFDE00FD}"/>
  <bookViews>
    <workbookView xWindow="38280" yWindow="-120" windowWidth="38640" windowHeight="21840" activeTab="4" xr2:uid="{00000000-000D-0000-FFFF-FFFF00000000}"/>
  </bookViews>
  <sheets>
    <sheet name="Heavy (Blue)" sheetId="17" r:id="rId1"/>
    <sheet name="Light (Red)" sheetId="18" r:id="rId2"/>
    <sheet name="Exp 02" sheetId="16" r:id="rId3"/>
    <sheet name="Sheet1" sheetId="19" r:id="rId4"/>
    <sheet name="Sheet2" sheetId="2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20" l="1"/>
  <c r="E4" i="20"/>
  <c r="G4" i="20" s="1"/>
  <c r="D22" i="20"/>
  <c r="B15" i="20"/>
  <c r="F3" i="20"/>
  <c r="E3" i="20"/>
  <c r="G3" i="20" s="1"/>
  <c r="D22" i="19"/>
  <c r="F8" i="19" s="1"/>
  <c r="B15" i="19"/>
  <c r="E8" i="19"/>
  <c r="G8" i="19" s="1"/>
  <c r="E7" i="19"/>
  <c r="E6" i="19"/>
  <c r="E5" i="19"/>
  <c r="E4" i="19"/>
  <c r="E3" i="19"/>
  <c r="H4" i="20" l="1"/>
  <c r="I4" i="20"/>
  <c r="H3" i="20"/>
  <c r="I3" i="20"/>
  <c r="I8" i="19"/>
  <c r="H8" i="19"/>
  <c r="F3" i="19"/>
  <c r="G3" i="19" s="1"/>
  <c r="F7" i="19"/>
  <c r="G7" i="19" s="1"/>
  <c r="F4" i="19"/>
  <c r="G4" i="19" s="1"/>
  <c r="F5" i="19"/>
  <c r="G5" i="19" s="1"/>
  <c r="F6" i="19"/>
  <c r="G6" i="19" s="1"/>
  <c r="G8" i="16"/>
  <c r="G7" i="16"/>
  <c r="G6" i="16"/>
  <c r="G5" i="16"/>
  <c r="I5" i="16" s="1"/>
  <c r="G4" i="16"/>
  <c r="I4" i="16" s="1"/>
  <c r="G3" i="16"/>
  <c r="G8" i="17"/>
  <c r="G7" i="17"/>
  <c r="G6" i="17"/>
  <c r="G5" i="17"/>
  <c r="G4" i="17"/>
  <c r="G3" i="17"/>
  <c r="G8" i="18"/>
  <c r="G7" i="18"/>
  <c r="G6" i="18"/>
  <c r="G4" i="18"/>
  <c r="G3" i="18"/>
  <c r="G5" i="18"/>
  <c r="G15" i="17"/>
  <c r="F8" i="16"/>
  <c r="E8" i="16"/>
  <c r="F7" i="16"/>
  <c r="E7" i="16"/>
  <c r="F6" i="16"/>
  <c r="E6" i="16"/>
  <c r="F5" i="16"/>
  <c r="E5" i="16"/>
  <c r="F4" i="16"/>
  <c r="E4" i="16"/>
  <c r="F3" i="16"/>
  <c r="E3" i="16"/>
  <c r="D22" i="16"/>
  <c r="I5" i="19" l="1"/>
  <c r="H5" i="19"/>
  <c r="H4" i="19"/>
  <c r="I4" i="19"/>
  <c r="I7" i="19"/>
  <c r="H7" i="19"/>
  <c r="I6" i="19"/>
  <c r="H6" i="19"/>
  <c r="I3" i="19"/>
  <c r="H3" i="19"/>
  <c r="H4" i="16"/>
  <c r="I6" i="16"/>
  <c r="H6" i="16"/>
  <c r="I8" i="16"/>
  <c r="H8" i="16"/>
  <c r="H3" i="16"/>
  <c r="I3" i="16"/>
  <c r="H7" i="16"/>
  <c r="I7" i="16"/>
  <c r="H5" i="16"/>
  <c r="F8" i="18"/>
  <c r="F7" i="18"/>
  <c r="F6" i="18"/>
  <c r="F5" i="18"/>
  <c r="F4" i="18"/>
  <c r="F3" i="18"/>
  <c r="F8" i="17"/>
  <c r="F7" i="17"/>
  <c r="F6" i="17"/>
  <c r="I6" i="17" s="1"/>
  <c r="F5" i="17"/>
  <c r="H5" i="17" s="1"/>
  <c r="F4" i="17"/>
  <c r="F3" i="17"/>
  <c r="H3" i="17" s="1"/>
  <c r="I4" i="17"/>
  <c r="E8" i="18"/>
  <c r="I7" i="18"/>
  <c r="E7" i="18"/>
  <c r="E6" i="18"/>
  <c r="E5" i="18"/>
  <c r="E4" i="18"/>
  <c r="H3" i="18"/>
  <c r="E3" i="18"/>
  <c r="H8" i="17"/>
  <c r="I7" i="17"/>
  <c r="B15" i="16"/>
  <c r="D22" i="17"/>
  <c r="E8" i="17"/>
  <c r="E7" i="17"/>
  <c r="E6" i="17"/>
  <c r="E5" i="17"/>
  <c r="E4" i="17"/>
  <c r="E3" i="17"/>
  <c r="D22" i="18"/>
  <c r="H4" i="17" l="1"/>
  <c r="I8" i="17"/>
  <c r="H6" i="17"/>
  <c r="H7" i="17"/>
  <c r="I3" i="17"/>
  <c r="I5" i="17"/>
  <c r="H5" i="18"/>
  <c r="I13" i="18" s="1"/>
  <c r="I5" i="18"/>
  <c r="I6" i="18"/>
  <c r="H6" i="18"/>
  <c r="I4" i="18"/>
  <c r="H4" i="18"/>
  <c r="I8" i="18"/>
  <c r="H8" i="18"/>
  <c r="H7" i="18"/>
  <c r="I3" i="18"/>
  <c r="J5" i="17"/>
  <c r="I13" i="17" l="1"/>
  <c r="J7" i="17"/>
  <c r="J3" i="17"/>
  <c r="J9" i="17" s="1"/>
  <c r="J5" i="18"/>
  <c r="J7" i="18"/>
  <c r="J3" i="18"/>
  <c r="B15" i="18"/>
  <c r="B15" i="17"/>
  <c r="A4" i="17"/>
  <c r="A5" i="17" s="1"/>
  <c r="A6" i="17" s="1"/>
  <c r="A7" i="17" l="1"/>
  <c r="A8" i="17" s="1"/>
  <c r="J9" i="18" l="1"/>
</calcChain>
</file>

<file path=xl/sharedStrings.xml><?xml version="1.0" encoding="utf-8"?>
<sst xmlns="http://schemas.openxmlformats.org/spreadsheetml/2006/main" count="183" uniqueCount="37">
  <si>
    <t>T (K)</t>
  </si>
  <si>
    <t>P (Pa)</t>
  </si>
  <si>
    <t>Height (m)</t>
  </si>
  <si>
    <t>Depth (m)</t>
  </si>
  <si>
    <t>P (atm)</t>
  </si>
  <si>
    <t>Pressure</t>
  </si>
  <si>
    <t>Temp.</t>
  </si>
  <si>
    <t>Width</t>
  </si>
  <si>
    <t>W (nm)</t>
  </si>
  <si>
    <t>Volume</t>
  </si>
  <si>
    <t>Boltzmann</t>
  </si>
  <si>
    <t>Number of Particles (N)</t>
  </si>
  <si>
    <t>Gas Constant</t>
  </si>
  <si>
    <t>R (J/mol-K)</t>
  </si>
  <si>
    <t>Average KE</t>
  </si>
  <si>
    <t>Average</t>
  </si>
  <si>
    <t>Standard Error</t>
  </si>
  <si>
    <t>Blue (Heavy)</t>
  </si>
  <si>
    <t>%-Difference</t>
  </si>
  <si>
    <t>Std. Deviation</t>
  </si>
  <si>
    <t>Particle Type? (Light/Heavy)</t>
  </si>
  <si>
    <t>Heavy</t>
  </si>
  <si>
    <t>Accepted Values</t>
  </si>
  <si>
    <r>
      <t>V (m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</si>
  <si>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 xml:space="preserve"> (J/K)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</si>
  <si>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Avg</t>
    </r>
    <r>
      <rPr>
        <b/>
        <sz val="11"/>
        <color theme="1"/>
        <rFont val="Calibri"/>
        <family val="2"/>
        <scheme val="minor"/>
      </rPr>
      <t xml:space="preserve"> (J)</t>
    </r>
  </si>
  <si>
    <r>
      <t>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</si>
  <si>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 xml:space="preserve"> (J/K)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</si>
  <si>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(--)</t>
    </r>
  </si>
  <si>
    <t>Conversion</t>
  </si>
  <si>
    <t>1 atm =</t>
  </si>
  <si>
    <t xml:space="preserve"> Pascals (Pa)</t>
  </si>
  <si>
    <t>1 AMU=</t>
  </si>
  <si>
    <t>kg</t>
  </si>
  <si>
    <t>1nm</t>
  </si>
  <si>
    <t>KE</t>
  </si>
  <si>
    <t>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</si>
</sst>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E+00"/>
    <numFmt numFmtId="165" formatCode="0.000E+00"/>
    <numFmt numFmtId="166" formatCode="0.0"/>
    <numFmt numFmtId="167" formatCode="0.0000"/>
    <numFmt numFmtId="168" formatCode="0.00000E+00"/>
    <numFmt numFmtId="169" formatCode="0.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" fontId="0" fillId="0" borderId="14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23" xfId="0" applyFont="1" applyBorder="1" applyAlignment="1">
      <alignment vertical="center"/>
    </xf>
    <xf numFmtId="1" fontId="0" fillId="0" borderId="19" xfId="0" applyNumberFormat="1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1" fontId="0" fillId="0" borderId="23" xfId="0" applyNumberFormat="1" applyFont="1" applyBorder="1" applyAlignment="1">
      <alignment horizontal="center" vertical="center"/>
    </xf>
    <xf numFmtId="1" fontId="0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1" fontId="0" fillId="0" borderId="15" xfId="0" applyNumberFormat="1" applyFont="1" applyBorder="1" applyAlignment="1">
      <alignment horizontal="center" vertical="center"/>
    </xf>
    <xf numFmtId="166" fontId="0" fillId="0" borderId="22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66" fontId="0" fillId="0" borderId="21" xfId="0" applyNumberFormat="1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0" fillId="0" borderId="23" xfId="0" applyNumberFormat="1" applyFont="1" applyBorder="1" applyAlignment="1">
      <alignment horizontal="center" vertical="center"/>
    </xf>
    <xf numFmtId="164" fontId="0" fillId="0" borderId="24" xfId="0" applyNumberFormat="1" applyFont="1" applyBorder="1" applyAlignment="1">
      <alignment horizontal="center" vertical="center"/>
    </xf>
    <xf numFmtId="166" fontId="0" fillId="0" borderId="8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166" fontId="0" fillId="0" borderId="9" xfId="0" applyNumberFormat="1" applyFont="1" applyBorder="1" applyAlignment="1">
      <alignment horizontal="center" vertical="center"/>
    </xf>
    <xf numFmtId="166" fontId="1" fillId="0" borderId="10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66" fontId="1" fillId="0" borderId="12" xfId="0" applyNumberFormat="1" applyFont="1" applyBorder="1" applyAlignment="1">
      <alignment horizontal="center" vertical="center"/>
    </xf>
    <xf numFmtId="168" fontId="1" fillId="0" borderId="20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167" fontId="1" fillId="0" borderId="15" xfId="0" applyNumberFormat="1" applyFont="1" applyBorder="1" applyAlignment="1">
      <alignment horizontal="center" vertical="center"/>
    </xf>
    <xf numFmtId="11" fontId="0" fillId="0" borderId="0" xfId="0" applyNumberFormat="1" applyFont="1" applyAlignment="1">
      <alignment vertical="center"/>
    </xf>
    <xf numFmtId="11" fontId="0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0" fillId="0" borderId="0" xfId="0" applyFont="1"/>
    <xf numFmtId="0" fontId="0" fillId="0" borderId="22" xfId="0" applyNumberFormat="1" applyFont="1" applyBorder="1" applyAlignment="1">
      <alignment horizontal="center" vertical="center"/>
    </xf>
    <xf numFmtId="164" fontId="0" fillId="0" borderId="0" xfId="0" applyNumberFormat="1" applyFont="1" applyAlignment="1">
      <alignment vertical="center"/>
    </xf>
    <xf numFmtId="169" fontId="0" fillId="0" borderId="20" xfId="0" applyNumberFormat="1" applyFont="1" applyBorder="1" applyAlignment="1">
      <alignment horizontal="right" vertical="center"/>
    </xf>
    <xf numFmtId="169" fontId="0" fillId="0" borderId="20" xfId="0" applyNumberFormat="1" applyFont="1" applyBorder="1" applyAlignment="1">
      <alignment vertical="center"/>
    </xf>
    <xf numFmtId="11" fontId="0" fillId="0" borderId="22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2"/>
  <sheetViews>
    <sheetView zoomScale="130" zoomScaleNormal="130" workbookViewId="0">
      <selection activeCell="I9" sqref="I9"/>
    </sheetView>
  </sheetViews>
  <sheetFormatPr defaultColWidth="8.85546875" defaultRowHeight="15" x14ac:dyDescent="0.25"/>
  <cols>
    <col min="1" max="1" width="12.7109375" style="25" customWidth="1"/>
    <col min="2" max="4" width="11" style="25" customWidth="1"/>
    <col min="5" max="6" width="10.140625" style="25" customWidth="1"/>
    <col min="7" max="7" width="11.28515625" style="25" customWidth="1"/>
    <col min="8" max="8" width="12" style="25" bestFit="1" customWidth="1"/>
    <col min="9" max="9" width="13.7109375" style="25" customWidth="1"/>
    <col min="10" max="10" width="14.42578125" style="25" customWidth="1"/>
    <col min="11" max="11" width="8.85546875" style="25"/>
    <col min="12" max="16384" width="8.85546875" style="45"/>
  </cols>
  <sheetData>
    <row r="1" spans="1:10" s="25" customFormat="1" ht="15.75" thickBot="1" x14ac:dyDescent="0.3">
      <c r="A1" s="51" t="s">
        <v>11</v>
      </c>
      <c r="B1" s="9" t="s">
        <v>5</v>
      </c>
      <c r="C1" s="10" t="s">
        <v>6</v>
      </c>
      <c r="D1" s="11" t="s">
        <v>7</v>
      </c>
      <c r="E1" s="9" t="s">
        <v>5</v>
      </c>
      <c r="F1" s="12" t="s">
        <v>9</v>
      </c>
      <c r="G1" s="13" t="s">
        <v>10</v>
      </c>
      <c r="H1" s="14" t="s">
        <v>14</v>
      </c>
      <c r="I1" s="13" t="s">
        <v>12</v>
      </c>
      <c r="J1" s="24" t="s">
        <v>17</v>
      </c>
    </row>
    <row r="2" spans="1:10" s="25" customFormat="1" ht="18.75" thickBot="1" x14ac:dyDescent="0.3">
      <c r="A2" s="52"/>
      <c r="B2" s="15" t="s">
        <v>4</v>
      </c>
      <c r="C2" s="16" t="s">
        <v>0</v>
      </c>
      <c r="D2" s="17" t="s">
        <v>8</v>
      </c>
      <c r="E2" s="15" t="s">
        <v>1</v>
      </c>
      <c r="F2" s="18" t="s">
        <v>23</v>
      </c>
      <c r="G2" s="19" t="s">
        <v>24</v>
      </c>
      <c r="H2" s="20" t="s">
        <v>25</v>
      </c>
      <c r="I2" s="19" t="s">
        <v>13</v>
      </c>
      <c r="J2" s="2" t="s">
        <v>15</v>
      </c>
    </row>
    <row r="3" spans="1:10" s="25" customFormat="1" ht="15.75" thickBot="1" x14ac:dyDescent="0.3">
      <c r="A3" s="7">
        <v>1000</v>
      </c>
      <c r="B3" s="27">
        <v>84.6</v>
      </c>
      <c r="C3" s="28">
        <v>325</v>
      </c>
      <c r="D3" s="29">
        <v>15</v>
      </c>
      <c r="E3" s="50">
        <f>B3*$D$14</f>
        <v>8572095</v>
      </c>
      <c r="F3" s="30">
        <f>$A$13*$B$13*(D3)*$D$22</f>
        <v>5.2500000000000007E-25</v>
      </c>
      <c r="G3" s="31">
        <f t="shared" ref="G3:G4" si="0">(E3*F3)/(A3*C3)</f>
        <v>1.3847230384615387E-23</v>
      </c>
      <c r="H3" s="32">
        <f>1.5*G3*C3</f>
        <v>6.7505248125000015E-21</v>
      </c>
      <c r="I3" s="32">
        <f>G3*$G$15</f>
        <v>8.3360326915384615</v>
      </c>
      <c r="J3" s="48">
        <f>AVERAGE(I3:I8)</f>
        <v>8.3059192451236594</v>
      </c>
    </row>
    <row r="4" spans="1:10" s="25" customFormat="1" x14ac:dyDescent="0.25">
      <c r="A4" s="1">
        <f>A3-100</f>
        <v>900</v>
      </c>
      <c r="B4" s="33">
        <v>84.6</v>
      </c>
      <c r="C4" s="34">
        <v>332</v>
      </c>
      <c r="D4" s="35">
        <v>13.8</v>
      </c>
      <c r="E4" s="50">
        <f t="shared" ref="E4:E8" si="1">B4*$D$14</f>
        <v>8572095</v>
      </c>
      <c r="F4" s="30">
        <f t="shared" ref="F4:F8" si="2">$A$13*$B$13*(D4)*$D$22</f>
        <v>4.830000000000001E-25</v>
      </c>
      <c r="G4" s="31">
        <f t="shared" si="0"/>
        <v>1.3856498945783136E-23</v>
      </c>
      <c r="H4" s="32">
        <f t="shared" ref="H4:H8" si="3">1.5*G4*C4</f>
        <v>6.9005364750000013E-21</v>
      </c>
      <c r="I4" s="32">
        <f t="shared" ref="I4:I8" si="4">G4*$G$15</f>
        <v>8.3416123653614473</v>
      </c>
      <c r="J4" s="2" t="s">
        <v>19</v>
      </c>
    </row>
    <row r="5" spans="1:10" s="25" customFormat="1" ht="15.75" thickBot="1" x14ac:dyDescent="0.3">
      <c r="A5" s="1">
        <f t="shared" ref="A5:A8" si="5">A4-100</f>
        <v>800</v>
      </c>
      <c r="B5" s="33">
        <v>84.6</v>
      </c>
      <c r="C5" s="34">
        <v>338</v>
      </c>
      <c r="D5" s="35">
        <v>12.4</v>
      </c>
      <c r="E5" s="50">
        <f t="shared" si="1"/>
        <v>8572095</v>
      </c>
      <c r="F5" s="30">
        <f t="shared" si="2"/>
        <v>4.3400000000000006E-25</v>
      </c>
      <c r="G5" s="31">
        <f>(E5*F5)/(A5*C5)</f>
        <v>1.3758466087278109E-23</v>
      </c>
      <c r="H5" s="32">
        <f t="shared" si="3"/>
        <v>6.9755423062500005E-21</v>
      </c>
      <c r="I5" s="32">
        <f t="shared" si="4"/>
        <v>8.2825965845414213</v>
      </c>
      <c r="J5" s="49">
        <f>_xlfn.STDEV.S(I3:I8)</f>
        <v>3.3223770390925653E-2</v>
      </c>
    </row>
    <row r="6" spans="1:10" s="25" customFormat="1" x14ac:dyDescent="0.25">
      <c r="A6" s="1">
        <f t="shared" si="5"/>
        <v>700</v>
      </c>
      <c r="B6" s="33">
        <v>84.6</v>
      </c>
      <c r="C6" s="34">
        <v>339</v>
      </c>
      <c r="D6" s="35">
        <v>10.9</v>
      </c>
      <c r="E6" s="50">
        <f t="shared" si="1"/>
        <v>8572095</v>
      </c>
      <c r="F6" s="30">
        <f t="shared" si="2"/>
        <v>3.8150000000000007E-25</v>
      </c>
      <c r="G6" s="31">
        <f t="shared" ref="G6:G8" si="6">(E6*F6)/(A6*C6)</f>
        <v>1.3781096681415933E-23</v>
      </c>
      <c r="H6" s="32">
        <f t="shared" si="3"/>
        <v>7.0076876625000023E-21</v>
      </c>
      <c r="I6" s="32">
        <f t="shared" si="4"/>
        <v>8.2962202022123908</v>
      </c>
      <c r="J6" s="2" t="s">
        <v>16</v>
      </c>
    </row>
    <row r="7" spans="1:10" s="25" customFormat="1" ht="15.75" thickBot="1" x14ac:dyDescent="0.3">
      <c r="A7" s="1">
        <f t="shared" si="5"/>
        <v>600</v>
      </c>
      <c r="B7" s="33">
        <v>84.6</v>
      </c>
      <c r="C7" s="34">
        <v>340</v>
      </c>
      <c r="D7" s="35">
        <v>9.4</v>
      </c>
      <c r="E7" s="50">
        <f t="shared" si="1"/>
        <v>8572095</v>
      </c>
      <c r="F7" s="30">
        <f t="shared" si="2"/>
        <v>3.2900000000000003E-25</v>
      </c>
      <c r="G7" s="31">
        <f t="shared" si="6"/>
        <v>1.3824604191176472E-23</v>
      </c>
      <c r="H7" s="32">
        <f t="shared" si="3"/>
        <v>7.0505481375000012E-21</v>
      </c>
      <c r="I7" s="32">
        <f t="shared" si="4"/>
        <v>8.3224117230882353</v>
      </c>
      <c r="J7" s="49">
        <f>_xlfn.STDEV.S(I3:I8)/SQRT(COUNT(I3:I8))</f>
        <v>1.3563547464859309E-2</v>
      </c>
    </row>
    <row r="8" spans="1:10" s="25" customFormat="1" x14ac:dyDescent="0.25">
      <c r="A8" s="1">
        <f t="shared" si="5"/>
        <v>500</v>
      </c>
      <c r="B8" s="33">
        <v>84.6</v>
      </c>
      <c r="C8" s="34">
        <v>350</v>
      </c>
      <c r="D8" s="35">
        <v>8</v>
      </c>
      <c r="E8" s="50">
        <f t="shared" si="1"/>
        <v>8572095</v>
      </c>
      <c r="F8" s="30">
        <f t="shared" si="2"/>
        <v>2.8000000000000003E-25</v>
      </c>
      <c r="G8" s="31">
        <f t="shared" si="6"/>
        <v>1.3715352000000002E-23</v>
      </c>
      <c r="H8" s="32">
        <f t="shared" si="3"/>
        <v>7.200559800000001E-21</v>
      </c>
      <c r="I8" s="32">
        <f t="shared" si="4"/>
        <v>8.2566419040000003</v>
      </c>
      <c r="J8" s="3" t="s">
        <v>18</v>
      </c>
    </row>
    <row r="9" spans="1:10" s="25" customFormat="1" ht="15.75" thickBot="1" x14ac:dyDescent="0.3">
      <c r="A9" s="26"/>
      <c r="B9" s="36"/>
      <c r="C9" s="37"/>
      <c r="D9" s="38"/>
      <c r="E9" s="46"/>
      <c r="F9" s="30"/>
      <c r="G9" s="39"/>
      <c r="H9" s="40"/>
      <c r="I9" s="41"/>
      <c r="J9" s="49">
        <f>ABS(J3-8.31)/8.31</f>
        <v>4.9106556875343861E-4</v>
      </c>
    </row>
    <row r="10" spans="1:10" s="25" customFormat="1" x14ac:dyDescent="0.25"/>
    <row r="11" spans="1:10" s="25" customFormat="1" x14ac:dyDescent="0.25"/>
    <row r="12" spans="1:10" s="25" customFormat="1" x14ac:dyDescent="0.25">
      <c r="A12" s="8" t="s">
        <v>2</v>
      </c>
      <c r="B12" s="8" t="s">
        <v>3</v>
      </c>
      <c r="C12" s="8"/>
      <c r="D12" s="23" t="s">
        <v>29</v>
      </c>
      <c r="E12" s="8"/>
      <c r="F12" s="22" t="s">
        <v>22</v>
      </c>
      <c r="I12" s="25" t="s">
        <v>35</v>
      </c>
    </row>
    <row r="13" spans="1:10" s="25" customFormat="1" ht="18" x14ac:dyDescent="0.25">
      <c r="A13" s="42">
        <v>4.0000000000000002E-9</v>
      </c>
      <c r="B13" s="42">
        <v>8.7500000000000006E-9</v>
      </c>
      <c r="C13" s="42"/>
      <c r="D13" s="43" t="s">
        <v>30</v>
      </c>
      <c r="E13" s="42"/>
      <c r="F13" s="21" t="s">
        <v>27</v>
      </c>
      <c r="G13" s="42">
        <v>1.3800000000000001E-23</v>
      </c>
      <c r="I13" s="47">
        <f>AVERAGE(H3:H8)</f>
        <v>6.980899865625002E-21</v>
      </c>
    </row>
    <row r="14" spans="1:10" s="25" customFormat="1" x14ac:dyDescent="0.25">
      <c r="D14" s="44">
        <v>101325</v>
      </c>
      <c r="F14" s="21" t="s">
        <v>13</v>
      </c>
      <c r="G14" s="42">
        <v>8.31</v>
      </c>
    </row>
    <row r="15" spans="1:10" s="25" customFormat="1" ht="18" x14ac:dyDescent="0.25">
      <c r="A15" s="8" t="s">
        <v>26</v>
      </c>
      <c r="B15" s="42">
        <f>A13*B13</f>
        <v>3.5000000000000002E-17</v>
      </c>
      <c r="C15" s="42"/>
      <c r="D15" s="42" t="s">
        <v>31</v>
      </c>
      <c r="E15" s="42"/>
      <c r="F15" s="21" t="s">
        <v>28</v>
      </c>
      <c r="G15" s="42">
        <f>6.02*10^23</f>
        <v>6.0199999999999993E+23</v>
      </c>
    </row>
    <row r="17" spans="4:4" x14ac:dyDescent="0.25">
      <c r="D17" s="25" t="s">
        <v>32</v>
      </c>
    </row>
    <row r="18" spans="4:4" x14ac:dyDescent="0.25">
      <c r="D18" s="42">
        <v>1.6604999999999998E-27</v>
      </c>
    </row>
    <row r="19" spans="4:4" x14ac:dyDescent="0.25">
      <c r="D19" s="25" t="s">
        <v>33</v>
      </c>
    </row>
    <row r="21" spans="4:4" x14ac:dyDescent="0.25">
      <c r="D21" s="25" t="s">
        <v>34</v>
      </c>
    </row>
    <row r="22" spans="4:4" x14ac:dyDescent="0.25">
      <c r="D22" s="25">
        <f>0.000000001</f>
        <v>1.0000000000000001E-9</v>
      </c>
    </row>
  </sheetData>
  <mergeCells count="1">
    <mergeCell ref="A1:A2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22"/>
  <sheetViews>
    <sheetView zoomScale="130" zoomScaleNormal="130" workbookViewId="0">
      <selection activeCell="E3" sqref="E3:J9"/>
    </sheetView>
  </sheetViews>
  <sheetFormatPr defaultColWidth="8.85546875" defaultRowHeight="15" x14ac:dyDescent="0.25"/>
  <cols>
    <col min="1" max="1" width="12.7109375" style="25" customWidth="1"/>
    <col min="2" max="4" width="11" style="25" customWidth="1"/>
    <col min="5" max="6" width="10.140625" style="25" customWidth="1"/>
    <col min="7" max="7" width="11.28515625" style="25" customWidth="1"/>
    <col min="8" max="8" width="12" style="25" bestFit="1" customWidth="1"/>
    <col min="9" max="9" width="14.7109375" style="25" customWidth="1"/>
    <col min="10" max="10" width="14.42578125" style="25" customWidth="1"/>
    <col min="11" max="11" width="8.85546875" style="25"/>
    <col min="12" max="16384" width="8.85546875" style="45"/>
  </cols>
  <sheetData>
    <row r="1" spans="1:10" s="25" customFormat="1" ht="15.75" thickBot="1" x14ac:dyDescent="0.3">
      <c r="A1" s="51" t="s">
        <v>11</v>
      </c>
      <c r="B1" s="9" t="s">
        <v>5</v>
      </c>
      <c r="C1" s="10" t="s">
        <v>6</v>
      </c>
      <c r="D1" s="11" t="s">
        <v>7</v>
      </c>
      <c r="E1" s="9" t="s">
        <v>5</v>
      </c>
      <c r="F1" s="12" t="s">
        <v>9</v>
      </c>
      <c r="G1" s="13" t="s">
        <v>10</v>
      </c>
      <c r="H1" s="14" t="s">
        <v>14</v>
      </c>
      <c r="I1" s="13" t="s">
        <v>12</v>
      </c>
      <c r="J1" s="24" t="s">
        <v>17</v>
      </c>
    </row>
    <row r="2" spans="1:10" s="25" customFormat="1" ht="18.75" thickBot="1" x14ac:dyDescent="0.3">
      <c r="A2" s="52"/>
      <c r="B2" s="15" t="s">
        <v>4</v>
      </c>
      <c r="C2" s="16" t="s">
        <v>0</v>
      </c>
      <c r="D2" s="17" t="s">
        <v>8</v>
      </c>
      <c r="E2" s="15" t="s">
        <v>1</v>
      </c>
      <c r="F2" s="18" t="s">
        <v>23</v>
      </c>
      <c r="G2" s="19" t="s">
        <v>24</v>
      </c>
      <c r="H2" s="20" t="s">
        <v>25</v>
      </c>
      <c r="I2" s="19" t="s">
        <v>13</v>
      </c>
      <c r="J2" s="2" t="s">
        <v>15</v>
      </c>
    </row>
    <row r="3" spans="1:10" s="25" customFormat="1" ht="15.75" thickBot="1" x14ac:dyDescent="0.3">
      <c r="A3" s="7">
        <v>1000</v>
      </c>
      <c r="B3" s="27">
        <v>76.900000000000006</v>
      </c>
      <c r="C3" s="28">
        <v>296</v>
      </c>
      <c r="D3" s="29">
        <v>15</v>
      </c>
      <c r="E3" s="46">
        <f>B3*$D$14</f>
        <v>7791892.5000000009</v>
      </c>
      <c r="F3" s="30">
        <f>$A$13*$B$13*(D3)*$D$22</f>
        <v>5.2500000000000007E-25</v>
      </c>
      <c r="G3" s="31">
        <f t="shared" ref="G3:G4" si="0">(E3*F3)/(A3*C3)</f>
        <v>1.3820079603040544E-23</v>
      </c>
      <c r="H3" s="32">
        <f>1.5*G3*C3</f>
        <v>6.1361153437500018E-21</v>
      </c>
      <c r="I3" s="32">
        <f>G3*$G$15</f>
        <v>8.3196879210304076</v>
      </c>
      <c r="J3" s="48">
        <f>AVERAGE(I3:I8)</f>
        <v>8.3284253811133055</v>
      </c>
    </row>
    <row r="4" spans="1:10" s="25" customFormat="1" x14ac:dyDescent="0.25">
      <c r="A4" s="1">
        <v>900</v>
      </c>
      <c r="B4" s="27">
        <v>76.900000000000006</v>
      </c>
      <c r="C4" s="34">
        <v>300</v>
      </c>
      <c r="D4" s="35">
        <v>13.9</v>
      </c>
      <c r="E4" s="46">
        <f t="shared" ref="E4:E8" si="1">B4*$D$14</f>
        <v>7791892.5000000009</v>
      </c>
      <c r="F4" s="30">
        <f t="shared" ref="F4:F8" si="2">$A$13*$B$13*(D4)*$D$22</f>
        <v>4.8650000000000009E-25</v>
      </c>
      <c r="G4" s="31">
        <f t="shared" si="0"/>
        <v>1.4039835930555558E-23</v>
      </c>
      <c r="H4" s="32">
        <f t="shared" ref="H4:H8" si="3">1.5*G4*C4</f>
        <v>6.317926168750001E-21</v>
      </c>
      <c r="I4" s="32">
        <f t="shared" ref="I4:I8" si="4">G4*$G$15</f>
        <v>8.4519812301944466</v>
      </c>
      <c r="J4" s="2" t="s">
        <v>19</v>
      </c>
    </row>
    <row r="5" spans="1:10" s="25" customFormat="1" ht="15.75" thickBot="1" x14ac:dyDescent="0.3">
      <c r="A5" s="1">
        <v>800</v>
      </c>
      <c r="B5" s="27">
        <v>76.900000000000006</v>
      </c>
      <c r="C5" s="34">
        <v>301</v>
      </c>
      <c r="D5" s="35">
        <v>12.2</v>
      </c>
      <c r="E5" s="46">
        <f t="shared" si="1"/>
        <v>7791892.5000000009</v>
      </c>
      <c r="F5" s="30">
        <f t="shared" si="2"/>
        <v>4.2699999999999998E-25</v>
      </c>
      <c r="G5" s="31">
        <f>(E5*F5)/(A5*C5)</f>
        <v>1.3817018677325583E-23</v>
      </c>
      <c r="H5" s="32">
        <f t="shared" si="3"/>
        <v>6.238383932812501E-21</v>
      </c>
      <c r="I5" s="32">
        <f t="shared" si="4"/>
        <v>8.3178452437500017</v>
      </c>
      <c r="J5" s="49">
        <f>_xlfn.STDEV.S(I3:I8)</f>
        <v>6.9877798058421481E-2</v>
      </c>
    </row>
    <row r="6" spans="1:10" s="25" customFormat="1" x14ac:dyDescent="0.25">
      <c r="A6" s="1">
        <v>700</v>
      </c>
      <c r="B6" s="27">
        <v>76.900000000000006</v>
      </c>
      <c r="C6" s="34">
        <v>292</v>
      </c>
      <c r="D6" s="35">
        <v>10.4</v>
      </c>
      <c r="E6" s="46">
        <f t="shared" si="1"/>
        <v>7791892.5000000009</v>
      </c>
      <c r="F6" s="30">
        <f t="shared" si="2"/>
        <v>3.6400000000000007E-25</v>
      </c>
      <c r="G6" s="31">
        <f t="shared" ref="G6:G8" si="5">(E6*F6)/(A6*C6)</f>
        <v>1.3875972945205485E-23</v>
      </c>
      <c r="H6" s="32">
        <f t="shared" si="3"/>
        <v>6.0776761500000025E-21</v>
      </c>
      <c r="I6" s="32">
        <f t="shared" si="4"/>
        <v>8.3533357130137027</v>
      </c>
      <c r="J6" s="2" t="s">
        <v>16</v>
      </c>
    </row>
    <row r="7" spans="1:10" s="25" customFormat="1" ht="15.75" thickBot="1" x14ac:dyDescent="0.3">
      <c r="A7" s="1">
        <v>600</v>
      </c>
      <c r="B7" s="27">
        <v>76.900000000000006</v>
      </c>
      <c r="C7" s="34">
        <v>298</v>
      </c>
      <c r="D7" s="35">
        <v>9</v>
      </c>
      <c r="E7" s="46">
        <f t="shared" si="1"/>
        <v>7791892.5000000009</v>
      </c>
      <c r="F7" s="30">
        <f t="shared" si="2"/>
        <v>3.1500000000000003E-25</v>
      </c>
      <c r="G7" s="31">
        <f t="shared" si="5"/>
        <v>1.37273273909396E-23</v>
      </c>
      <c r="H7" s="32">
        <f t="shared" si="3"/>
        <v>6.136115343750001E-21</v>
      </c>
      <c r="I7" s="32">
        <f t="shared" si="4"/>
        <v>8.2638510893456392</v>
      </c>
      <c r="J7" s="49">
        <f>_xlfn.STDEV.S(I3:I8)/SQRT(COUNT(I3:I8))</f>
        <v>2.852749159872962E-2</v>
      </c>
    </row>
    <row r="8" spans="1:10" s="25" customFormat="1" x14ac:dyDescent="0.25">
      <c r="A8" s="1">
        <v>500</v>
      </c>
      <c r="B8" s="27">
        <v>76.900000000000006</v>
      </c>
      <c r="C8" s="34">
        <v>298</v>
      </c>
      <c r="D8" s="35">
        <v>7.5</v>
      </c>
      <c r="E8" s="46">
        <f t="shared" si="1"/>
        <v>7791892.5000000009</v>
      </c>
      <c r="F8" s="30">
        <f t="shared" si="2"/>
        <v>2.6250000000000004E-25</v>
      </c>
      <c r="G8" s="31">
        <f t="shared" si="5"/>
        <v>1.37273273909396E-23</v>
      </c>
      <c r="H8" s="32">
        <f t="shared" si="3"/>
        <v>6.136115343750001E-21</v>
      </c>
      <c r="I8" s="32">
        <f t="shared" si="4"/>
        <v>8.2638510893456392</v>
      </c>
      <c r="J8" s="3" t="s">
        <v>18</v>
      </c>
    </row>
    <row r="9" spans="1:10" s="25" customFormat="1" ht="15.75" thickBot="1" x14ac:dyDescent="0.3">
      <c r="A9" s="26"/>
      <c r="B9" s="36"/>
      <c r="C9" s="37"/>
      <c r="D9" s="39"/>
      <c r="E9" s="39"/>
      <c r="F9" s="39"/>
      <c r="G9" s="39"/>
      <c r="H9" s="40"/>
      <c r="I9" s="41"/>
      <c r="J9" s="49">
        <f>ABS(J3-$G$14)/$G$14</f>
        <v>2.2172540449223888E-3</v>
      </c>
    </row>
    <row r="10" spans="1:10" s="25" customFormat="1" x14ac:dyDescent="0.25"/>
    <row r="11" spans="1:10" s="25" customFormat="1" x14ac:dyDescent="0.25"/>
    <row r="12" spans="1:10" s="25" customFormat="1" x14ac:dyDescent="0.25">
      <c r="A12" s="8" t="s">
        <v>2</v>
      </c>
      <c r="B12" s="8" t="s">
        <v>3</v>
      </c>
      <c r="C12" s="8"/>
      <c r="D12" s="23" t="s">
        <v>29</v>
      </c>
      <c r="E12" s="8"/>
      <c r="F12" s="22" t="s">
        <v>22</v>
      </c>
      <c r="I12" s="25" t="s">
        <v>35</v>
      </c>
    </row>
    <row r="13" spans="1:10" s="25" customFormat="1" ht="18" x14ac:dyDescent="0.25">
      <c r="A13" s="42">
        <v>4.0000000000000002E-9</v>
      </c>
      <c r="B13" s="42">
        <v>8.7500000000000006E-9</v>
      </c>
      <c r="C13" s="42"/>
      <c r="D13" s="43" t="s">
        <v>30</v>
      </c>
      <c r="E13" s="42"/>
      <c r="F13" s="21" t="s">
        <v>27</v>
      </c>
      <c r="G13" s="42">
        <v>1.3800000000000001E-23</v>
      </c>
      <c r="I13" s="47">
        <f>AVERAGE(H3:H8)</f>
        <v>6.1737220471354183E-21</v>
      </c>
    </row>
    <row r="14" spans="1:10" s="25" customFormat="1" x14ac:dyDescent="0.25">
      <c r="D14" s="44">
        <v>101325</v>
      </c>
      <c r="F14" s="21" t="s">
        <v>13</v>
      </c>
      <c r="G14" s="42">
        <v>8.31</v>
      </c>
    </row>
    <row r="15" spans="1:10" s="25" customFormat="1" ht="18" x14ac:dyDescent="0.25">
      <c r="A15" s="8" t="s">
        <v>26</v>
      </c>
      <c r="B15" s="42">
        <f>A13*B13</f>
        <v>3.5000000000000002E-17</v>
      </c>
      <c r="C15" s="42"/>
      <c r="D15" s="42" t="s">
        <v>31</v>
      </c>
      <c r="E15" s="42"/>
      <c r="F15" s="21" t="s">
        <v>28</v>
      </c>
      <c r="G15" s="42">
        <v>6.02E+23</v>
      </c>
    </row>
    <row r="17" spans="4:4" x14ac:dyDescent="0.25">
      <c r="D17" s="25" t="s">
        <v>32</v>
      </c>
    </row>
    <row r="18" spans="4:4" x14ac:dyDescent="0.25">
      <c r="D18" s="42">
        <v>1.6604999999999998E-27</v>
      </c>
    </row>
    <row r="19" spans="4:4" x14ac:dyDescent="0.25">
      <c r="D19" s="25" t="s">
        <v>33</v>
      </c>
    </row>
    <row r="21" spans="4:4" x14ac:dyDescent="0.25">
      <c r="D21" s="25" t="s">
        <v>34</v>
      </c>
    </row>
    <row r="22" spans="4:4" x14ac:dyDescent="0.25">
      <c r="D22" s="25">
        <f>10^-9</f>
        <v>1.0000000000000001E-9</v>
      </c>
    </row>
  </sheetData>
  <mergeCells count="1">
    <mergeCell ref="A1: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22"/>
  <sheetViews>
    <sheetView zoomScale="130" zoomScaleNormal="130" workbookViewId="0">
      <selection activeCell="K33" sqref="A1:K33"/>
    </sheetView>
  </sheetViews>
  <sheetFormatPr defaultColWidth="8.85546875" defaultRowHeight="15" x14ac:dyDescent="0.25"/>
  <cols>
    <col min="1" max="1" width="12.7109375" style="25" customWidth="1"/>
    <col min="2" max="4" width="11" style="25" customWidth="1"/>
    <col min="5" max="6" width="10.140625" style="25" customWidth="1"/>
    <col min="7" max="7" width="11.28515625" style="25" customWidth="1"/>
    <col min="8" max="8" width="12" style="25" bestFit="1" customWidth="1"/>
    <col min="9" max="9" width="14.7109375" style="25" customWidth="1"/>
    <col min="10" max="10" width="14.42578125" style="25" customWidth="1"/>
    <col min="11" max="16384" width="8.85546875" style="25"/>
  </cols>
  <sheetData>
    <row r="1" spans="1:10" x14ac:dyDescent="0.25">
      <c r="A1" s="53" t="s">
        <v>11</v>
      </c>
      <c r="B1" s="9" t="s">
        <v>5</v>
      </c>
      <c r="C1" s="10" t="s">
        <v>6</v>
      </c>
      <c r="D1" s="11" t="s">
        <v>7</v>
      </c>
      <c r="E1" s="9" t="s">
        <v>5</v>
      </c>
      <c r="F1" s="12" t="s">
        <v>9</v>
      </c>
      <c r="G1" s="13" t="s">
        <v>10</v>
      </c>
      <c r="H1" s="14" t="s">
        <v>14</v>
      </c>
      <c r="I1" s="14" t="s">
        <v>12</v>
      </c>
      <c r="J1" s="53" t="s">
        <v>20</v>
      </c>
    </row>
    <row r="2" spans="1:10" ht="18.75" thickBot="1" x14ac:dyDescent="0.3">
      <c r="A2" s="54"/>
      <c r="B2" s="15" t="s">
        <v>4</v>
      </c>
      <c r="C2" s="16" t="s">
        <v>0</v>
      </c>
      <c r="D2" s="17" t="s">
        <v>8</v>
      </c>
      <c r="E2" s="15" t="s">
        <v>1</v>
      </c>
      <c r="F2" s="18" t="s">
        <v>23</v>
      </c>
      <c r="G2" s="19" t="s">
        <v>24</v>
      </c>
      <c r="H2" s="20" t="s">
        <v>25</v>
      </c>
      <c r="I2" s="20" t="s">
        <v>13</v>
      </c>
      <c r="J2" s="54"/>
    </row>
    <row r="3" spans="1:10" x14ac:dyDescent="0.25">
      <c r="A3" s="6">
        <v>700</v>
      </c>
      <c r="B3" s="27">
        <v>55.6</v>
      </c>
      <c r="C3" s="28">
        <v>307</v>
      </c>
      <c r="D3" s="29">
        <v>15</v>
      </c>
      <c r="E3" s="46">
        <f>B3*$D$14</f>
        <v>5633670</v>
      </c>
      <c r="F3" s="30">
        <f>$A$13*$B$13*(D3)*$D$22</f>
        <v>5.2500000000000007E-25</v>
      </c>
      <c r="G3" s="31">
        <f t="shared" ref="G3:G4" si="0">(E3*F3)/(A3*C3)</f>
        <v>1.3763037459283389E-23</v>
      </c>
      <c r="H3" s="32">
        <f>1.5*G3*C3</f>
        <v>6.3378787500000001E-21</v>
      </c>
      <c r="I3" s="32">
        <f>G3*$G$15</f>
        <v>8.2853485504885995</v>
      </c>
      <c r="J3" s="6" t="s">
        <v>21</v>
      </c>
    </row>
    <row r="4" spans="1:10" x14ac:dyDescent="0.25">
      <c r="A4" s="4">
        <v>600</v>
      </c>
      <c r="B4" s="27">
        <v>48</v>
      </c>
      <c r="C4" s="28">
        <v>307</v>
      </c>
      <c r="D4" s="35">
        <v>15</v>
      </c>
      <c r="E4" s="46">
        <f t="shared" ref="E4:E8" si="1">B4*$D$14</f>
        <v>4863600</v>
      </c>
      <c r="F4" s="30">
        <f t="shared" ref="F4:F8" si="2">$A$13*$B$13*(D4)*$D$22</f>
        <v>5.2500000000000007E-25</v>
      </c>
      <c r="G4" s="31">
        <f t="shared" si="0"/>
        <v>1.3862052117263846E-23</v>
      </c>
      <c r="H4" s="32">
        <f t="shared" ref="H4:H8" si="3">1.5*G4*C4</f>
        <v>6.3834750000000009E-21</v>
      </c>
      <c r="I4" s="32">
        <f>G4*$G$15</f>
        <v>8.3449553745928355</v>
      </c>
      <c r="J4" s="6" t="s">
        <v>21</v>
      </c>
    </row>
    <row r="5" spans="1:10" x14ac:dyDescent="0.25">
      <c r="A5" s="4">
        <v>500</v>
      </c>
      <c r="B5" s="27">
        <v>40</v>
      </c>
      <c r="C5" s="28">
        <v>307</v>
      </c>
      <c r="D5" s="35">
        <v>15</v>
      </c>
      <c r="E5" s="46">
        <f t="shared" si="1"/>
        <v>4053000</v>
      </c>
      <c r="F5" s="30">
        <f t="shared" si="2"/>
        <v>5.2500000000000007E-25</v>
      </c>
      <c r="G5" s="31">
        <f>(E5*F5)/(A5*C5)</f>
        <v>1.3862052117263846E-23</v>
      </c>
      <c r="H5" s="32">
        <f t="shared" si="3"/>
        <v>6.3834750000000009E-21</v>
      </c>
      <c r="I5" s="32">
        <f t="shared" ref="I5:I8" si="4">G5*$G$15</f>
        <v>8.3449553745928355</v>
      </c>
      <c r="J5" s="6" t="s">
        <v>21</v>
      </c>
    </row>
    <row r="6" spans="1:10" x14ac:dyDescent="0.25">
      <c r="A6" s="4">
        <v>400</v>
      </c>
      <c r="B6" s="27">
        <v>32</v>
      </c>
      <c r="C6" s="28">
        <v>307</v>
      </c>
      <c r="D6" s="35">
        <v>15</v>
      </c>
      <c r="E6" s="46">
        <f t="shared" si="1"/>
        <v>3242400</v>
      </c>
      <c r="F6" s="30">
        <f t="shared" si="2"/>
        <v>5.2500000000000007E-25</v>
      </c>
      <c r="G6" s="31">
        <f t="shared" ref="G6:G8" si="5">(E6*F6)/(A6*C6)</f>
        <v>1.3862052117263846E-23</v>
      </c>
      <c r="H6" s="32">
        <f t="shared" si="3"/>
        <v>6.3834750000000009E-21</v>
      </c>
      <c r="I6" s="32">
        <f t="shared" si="4"/>
        <v>8.3449553745928355</v>
      </c>
      <c r="J6" s="6" t="s">
        <v>21</v>
      </c>
    </row>
    <row r="7" spans="1:10" x14ac:dyDescent="0.25">
      <c r="A7" s="4">
        <v>300</v>
      </c>
      <c r="B7" s="27">
        <v>23.7</v>
      </c>
      <c r="C7" s="28">
        <v>307</v>
      </c>
      <c r="D7" s="35">
        <v>15</v>
      </c>
      <c r="E7" s="46">
        <f t="shared" si="1"/>
        <v>2401402.5</v>
      </c>
      <c r="F7" s="30">
        <f t="shared" si="2"/>
        <v>5.2500000000000007E-25</v>
      </c>
      <c r="G7" s="31">
        <f t="shared" si="5"/>
        <v>1.3688776465798049E-23</v>
      </c>
      <c r="H7" s="32">
        <f t="shared" si="3"/>
        <v>6.3036815625000008E-21</v>
      </c>
      <c r="I7" s="32">
        <f t="shared" si="4"/>
        <v>8.2406434324104261</v>
      </c>
      <c r="J7" s="6" t="s">
        <v>21</v>
      </c>
    </row>
    <row r="8" spans="1:10" x14ac:dyDescent="0.25">
      <c r="A8" s="4">
        <v>200</v>
      </c>
      <c r="B8" s="27">
        <v>15.9</v>
      </c>
      <c r="C8" s="28">
        <v>307</v>
      </c>
      <c r="D8" s="35">
        <v>15</v>
      </c>
      <c r="E8" s="46">
        <f t="shared" si="1"/>
        <v>1611067.5</v>
      </c>
      <c r="F8" s="30">
        <f t="shared" si="2"/>
        <v>5.2500000000000007E-25</v>
      </c>
      <c r="G8" s="31">
        <f t="shared" si="5"/>
        <v>1.3775414291530946E-23</v>
      </c>
      <c r="H8" s="32">
        <f t="shared" si="3"/>
        <v>6.3435782812500008E-21</v>
      </c>
      <c r="I8" s="32">
        <f t="shared" si="4"/>
        <v>8.292799403501629</v>
      </c>
      <c r="J8" s="6" t="s">
        <v>21</v>
      </c>
    </row>
    <row r="9" spans="1:10" ht="15.75" thickBot="1" x14ac:dyDescent="0.3">
      <c r="A9" s="5"/>
      <c r="B9" s="15"/>
      <c r="C9" s="16"/>
      <c r="D9" s="17"/>
      <c r="E9" s="15"/>
      <c r="F9" s="18"/>
      <c r="G9" s="39"/>
      <c r="H9" s="20"/>
      <c r="I9" s="20"/>
      <c r="J9" s="5"/>
    </row>
    <row r="12" spans="1:10" x14ac:dyDescent="0.25">
      <c r="A12" s="8" t="s">
        <v>2</v>
      </c>
      <c r="B12" s="8" t="s">
        <v>3</v>
      </c>
      <c r="C12" s="8"/>
      <c r="D12" s="23" t="s">
        <v>29</v>
      </c>
      <c r="E12" s="8"/>
      <c r="F12" s="22" t="s">
        <v>22</v>
      </c>
    </row>
    <row r="13" spans="1:10" ht="18" x14ac:dyDescent="0.25">
      <c r="A13" s="42">
        <v>4.0000000000000002E-9</v>
      </c>
      <c r="B13" s="42">
        <v>8.7500000000000006E-9</v>
      </c>
      <c r="C13" s="42"/>
      <c r="D13" s="43" t="s">
        <v>30</v>
      </c>
      <c r="E13" s="42"/>
      <c r="F13" s="21" t="s">
        <v>27</v>
      </c>
      <c r="G13" s="42">
        <v>1.3800000000000001E-23</v>
      </c>
    </row>
    <row r="14" spans="1:10" x14ac:dyDescent="0.25">
      <c r="D14" s="44">
        <v>101325</v>
      </c>
      <c r="F14" s="21" t="s">
        <v>13</v>
      </c>
      <c r="G14" s="42">
        <v>8.31</v>
      </c>
    </row>
    <row r="15" spans="1:10" ht="18" x14ac:dyDescent="0.25">
      <c r="A15" s="8" t="s">
        <v>26</v>
      </c>
      <c r="B15" s="42">
        <f>A13*B13</f>
        <v>3.5000000000000002E-17</v>
      </c>
      <c r="C15" s="42"/>
      <c r="D15" s="42" t="s">
        <v>31</v>
      </c>
      <c r="E15" s="42"/>
      <c r="F15" s="21" t="s">
        <v>28</v>
      </c>
      <c r="G15" s="42">
        <v>6.02E+23</v>
      </c>
    </row>
    <row r="17" spans="3:4" x14ac:dyDescent="0.25">
      <c r="D17" s="25" t="s">
        <v>32</v>
      </c>
    </row>
    <row r="18" spans="3:4" x14ac:dyDescent="0.25">
      <c r="D18" s="42">
        <v>1.6604999999999998E-27</v>
      </c>
    </row>
    <row r="19" spans="3:4" x14ac:dyDescent="0.25">
      <c r="C19" s="42"/>
      <c r="D19" s="25" t="s">
        <v>33</v>
      </c>
    </row>
    <row r="21" spans="3:4" x14ac:dyDescent="0.25">
      <c r="D21" s="25" t="s">
        <v>34</v>
      </c>
    </row>
    <row r="22" spans="3:4" x14ac:dyDescent="0.25">
      <c r="D22" s="25">
        <f>10^-9</f>
        <v>1.0000000000000001E-9</v>
      </c>
    </row>
  </sheetData>
  <mergeCells count="2">
    <mergeCell ref="A1:A2"/>
    <mergeCell ref="J1:J2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B8AF7-DF28-43D1-AE60-B82CEAE2A83A}">
  <dimension ref="A1:K33"/>
  <sheetViews>
    <sheetView workbookViewId="0">
      <selection activeCell="M4" sqref="M4"/>
    </sheetView>
  </sheetViews>
  <sheetFormatPr defaultRowHeight="15" x14ac:dyDescent="0.25"/>
  <sheetData>
    <row r="1" spans="1:11" x14ac:dyDescent="0.25">
      <c r="A1" s="53" t="s">
        <v>11</v>
      </c>
      <c r="B1" s="9" t="s">
        <v>5</v>
      </c>
      <c r="C1" s="10" t="s">
        <v>6</v>
      </c>
      <c r="D1" s="11" t="s">
        <v>7</v>
      </c>
      <c r="E1" s="9" t="s">
        <v>5</v>
      </c>
      <c r="F1" s="12" t="s">
        <v>9</v>
      </c>
      <c r="G1" s="13" t="s">
        <v>10</v>
      </c>
      <c r="H1" s="14" t="s">
        <v>14</v>
      </c>
      <c r="I1" s="14" t="s">
        <v>12</v>
      </c>
      <c r="J1" s="53" t="s">
        <v>20</v>
      </c>
      <c r="K1" s="25"/>
    </row>
    <row r="2" spans="1:11" ht="18.75" thickBot="1" x14ac:dyDescent="0.3">
      <c r="A2" s="54"/>
      <c r="B2" s="15" t="s">
        <v>4</v>
      </c>
      <c r="C2" s="16" t="s">
        <v>0</v>
      </c>
      <c r="D2" s="17" t="s">
        <v>8</v>
      </c>
      <c r="E2" s="15" t="s">
        <v>1</v>
      </c>
      <c r="F2" s="18" t="s">
        <v>23</v>
      </c>
      <c r="G2" s="19" t="s">
        <v>24</v>
      </c>
      <c r="H2" s="20" t="s">
        <v>25</v>
      </c>
      <c r="I2" s="20" t="s">
        <v>13</v>
      </c>
      <c r="J2" s="54"/>
      <c r="K2" s="25"/>
    </row>
    <row r="3" spans="1:11" x14ac:dyDescent="0.25">
      <c r="A3" s="6">
        <v>700</v>
      </c>
      <c r="B3" s="27">
        <v>55.6</v>
      </c>
      <c r="C3" s="28">
        <v>307</v>
      </c>
      <c r="D3" s="29">
        <v>15</v>
      </c>
      <c r="E3" s="46">
        <f>B3*$D$14</f>
        <v>5633670</v>
      </c>
      <c r="F3" s="30">
        <f>$A$13*$B$13*(D3)*$D$22</f>
        <v>5.2500000000000007E-25</v>
      </c>
      <c r="G3" s="31">
        <f t="shared" ref="G3:G4" si="0">(E3*F3)/(A3*C3)</f>
        <v>1.3763037459283389E-23</v>
      </c>
      <c r="H3" s="32">
        <f>1.5*G3*C3</f>
        <v>6.3378787500000001E-21</v>
      </c>
      <c r="I3" s="32">
        <f>G3*$G$15</f>
        <v>8.2853485504885995</v>
      </c>
      <c r="J3" s="6" t="s">
        <v>21</v>
      </c>
      <c r="K3" s="25"/>
    </row>
    <row r="4" spans="1:11" x14ac:dyDescent="0.25">
      <c r="A4" s="4">
        <v>600</v>
      </c>
      <c r="B4" s="27">
        <v>48</v>
      </c>
      <c r="C4" s="28">
        <v>307</v>
      </c>
      <c r="D4" s="35">
        <v>15</v>
      </c>
      <c r="E4" s="46">
        <f t="shared" ref="E4:E8" si="1">B4*$D$14</f>
        <v>4863600</v>
      </c>
      <c r="F4" s="30">
        <f t="shared" ref="F4:F8" si="2">$A$13*$B$13*(D4)*$D$22</f>
        <v>5.2500000000000007E-25</v>
      </c>
      <c r="G4" s="31">
        <f t="shared" si="0"/>
        <v>1.3862052117263846E-23</v>
      </c>
      <c r="H4" s="32">
        <f t="shared" ref="H4:H8" si="3">1.5*G4*C4</f>
        <v>6.3834750000000009E-21</v>
      </c>
      <c r="I4" s="32">
        <f>G4*$G$15</f>
        <v>8.3449553745928355</v>
      </c>
      <c r="J4" s="6" t="s">
        <v>21</v>
      </c>
      <c r="K4" s="25"/>
    </row>
    <row r="5" spans="1:11" x14ac:dyDescent="0.25">
      <c r="A5" s="4">
        <v>500</v>
      </c>
      <c r="B5" s="27">
        <v>40</v>
      </c>
      <c r="C5" s="28">
        <v>307</v>
      </c>
      <c r="D5" s="35">
        <v>15</v>
      </c>
      <c r="E5" s="46">
        <f t="shared" si="1"/>
        <v>4053000</v>
      </c>
      <c r="F5" s="30">
        <f t="shared" si="2"/>
        <v>5.2500000000000007E-25</v>
      </c>
      <c r="G5" s="31">
        <f>(E5*F5)/(A5*C5)</f>
        <v>1.3862052117263846E-23</v>
      </c>
      <c r="H5" s="32">
        <f t="shared" si="3"/>
        <v>6.3834750000000009E-21</v>
      </c>
      <c r="I5" s="32">
        <f t="shared" ref="I5:I8" si="4">G5*$G$15</f>
        <v>8.3449553745928355</v>
      </c>
      <c r="J5" s="6" t="s">
        <v>21</v>
      </c>
      <c r="K5" s="25"/>
    </row>
    <row r="6" spans="1:11" x14ac:dyDescent="0.25">
      <c r="A6" s="4">
        <v>400</v>
      </c>
      <c r="B6" s="27">
        <v>32</v>
      </c>
      <c r="C6" s="28">
        <v>307</v>
      </c>
      <c r="D6" s="35">
        <v>15</v>
      </c>
      <c r="E6" s="46">
        <f t="shared" si="1"/>
        <v>3242400</v>
      </c>
      <c r="F6" s="30">
        <f t="shared" si="2"/>
        <v>5.2500000000000007E-25</v>
      </c>
      <c r="G6" s="31">
        <f t="shared" ref="G6:G8" si="5">(E6*F6)/(A6*C6)</f>
        <v>1.3862052117263846E-23</v>
      </c>
      <c r="H6" s="32">
        <f t="shared" si="3"/>
        <v>6.3834750000000009E-21</v>
      </c>
      <c r="I6" s="32">
        <f t="shared" si="4"/>
        <v>8.3449553745928355</v>
      </c>
      <c r="J6" s="6" t="s">
        <v>21</v>
      </c>
      <c r="K6" s="25"/>
    </row>
    <row r="7" spans="1:11" x14ac:dyDescent="0.25">
      <c r="A7" s="4">
        <v>300</v>
      </c>
      <c r="B7" s="27">
        <v>23.7</v>
      </c>
      <c r="C7" s="28">
        <v>307</v>
      </c>
      <c r="D7" s="35">
        <v>15</v>
      </c>
      <c r="E7" s="46">
        <f t="shared" si="1"/>
        <v>2401402.5</v>
      </c>
      <c r="F7" s="30">
        <f t="shared" si="2"/>
        <v>5.2500000000000007E-25</v>
      </c>
      <c r="G7" s="31">
        <f t="shared" si="5"/>
        <v>1.3688776465798049E-23</v>
      </c>
      <c r="H7" s="32">
        <f t="shared" si="3"/>
        <v>6.3036815625000008E-21</v>
      </c>
      <c r="I7" s="32">
        <f t="shared" si="4"/>
        <v>8.2406434324104261</v>
      </c>
      <c r="J7" s="6" t="s">
        <v>21</v>
      </c>
      <c r="K7" s="25"/>
    </row>
    <row r="8" spans="1:11" x14ac:dyDescent="0.25">
      <c r="A8" s="4">
        <v>200</v>
      </c>
      <c r="B8" s="27">
        <v>15.9</v>
      </c>
      <c r="C8" s="28">
        <v>307</v>
      </c>
      <c r="D8" s="35">
        <v>15</v>
      </c>
      <c r="E8" s="46">
        <f t="shared" si="1"/>
        <v>1611067.5</v>
      </c>
      <c r="F8" s="30">
        <f t="shared" si="2"/>
        <v>5.2500000000000007E-25</v>
      </c>
      <c r="G8" s="31">
        <f t="shared" si="5"/>
        <v>1.3775414291530946E-23</v>
      </c>
      <c r="H8" s="32">
        <f t="shared" si="3"/>
        <v>6.3435782812500008E-21</v>
      </c>
      <c r="I8" s="32">
        <f t="shared" si="4"/>
        <v>8.292799403501629</v>
      </c>
      <c r="J8" s="6" t="s">
        <v>21</v>
      </c>
      <c r="K8" s="25"/>
    </row>
    <row r="9" spans="1:11" ht="15.75" thickBot="1" x14ac:dyDescent="0.3">
      <c r="A9" s="5"/>
      <c r="B9" s="15"/>
      <c r="C9" s="16"/>
      <c r="D9" s="17"/>
      <c r="E9" s="15"/>
      <c r="F9" s="18"/>
      <c r="G9" s="39"/>
      <c r="H9" s="20"/>
      <c r="I9" s="20"/>
      <c r="J9" s="5"/>
      <c r="K9" s="25"/>
    </row>
    <row r="10" spans="1:1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</row>
    <row r="11" spans="1:1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</row>
    <row r="12" spans="1:11" x14ac:dyDescent="0.25">
      <c r="A12" s="8" t="s">
        <v>2</v>
      </c>
      <c r="B12" s="8" t="s">
        <v>3</v>
      </c>
      <c r="C12" s="8"/>
      <c r="D12" s="23" t="s">
        <v>29</v>
      </c>
      <c r="E12" s="8"/>
      <c r="F12" s="22" t="s">
        <v>22</v>
      </c>
      <c r="G12" s="25"/>
      <c r="H12" s="25"/>
      <c r="I12" s="25"/>
      <c r="J12" s="25"/>
      <c r="K12" s="25"/>
    </row>
    <row r="13" spans="1:11" ht="18" x14ac:dyDescent="0.25">
      <c r="A13" s="42">
        <v>4.0000000000000002E-9</v>
      </c>
      <c r="B13" s="42">
        <v>8.7500000000000006E-9</v>
      </c>
      <c r="C13" s="42"/>
      <c r="D13" s="43" t="s">
        <v>30</v>
      </c>
      <c r="E13" s="42"/>
      <c r="F13" s="21" t="s">
        <v>27</v>
      </c>
      <c r="G13" s="42">
        <v>1.3800000000000001E-23</v>
      </c>
      <c r="H13" s="25"/>
      <c r="I13" s="25"/>
      <c r="J13" s="25"/>
      <c r="K13" s="25"/>
    </row>
    <row r="14" spans="1:11" x14ac:dyDescent="0.25">
      <c r="A14" s="25"/>
      <c r="B14" s="25"/>
      <c r="C14" s="25"/>
      <c r="D14" s="44">
        <v>101325</v>
      </c>
      <c r="E14" s="25"/>
      <c r="F14" s="21" t="s">
        <v>13</v>
      </c>
      <c r="G14" s="42">
        <v>8.31</v>
      </c>
      <c r="H14" s="25"/>
      <c r="I14" s="25"/>
      <c r="J14" s="25"/>
      <c r="K14" s="25"/>
    </row>
    <row r="15" spans="1:11" ht="18" x14ac:dyDescent="0.25">
      <c r="A15" s="8" t="s">
        <v>26</v>
      </c>
      <c r="B15" s="42">
        <f>A13*B13</f>
        <v>3.5000000000000002E-17</v>
      </c>
      <c r="C15" s="42"/>
      <c r="D15" s="42" t="s">
        <v>31</v>
      </c>
      <c r="E15" s="42"/>
      <c r="F15" s="21" t="s">
        <v>28</v>
      </c>
      <c r="G15" s="42">
        <v>6.02E+23</v>
      </c>
      <c r="H15" s="25"/>
      <c r="I15" s="25"/>
      <c r="J15" s="25"/>
      <c r="K15" s="25"/>
    </row>
    <row r="16" spans="1:1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x14ac:dyDescent="0.25">
      <c r="A17" s="25"/>
      <c r="B17" s="25"/>
      <c r="C17" s="25"/>
      <c r="D17" s="25" t="s">
        <v>32</v>
      </c>
      <c r="E17" s="25"/>
      <c r="F17" s="25"/>
      <c r="G17" s="25"/>
      <c r="H17" s="25"/>
      <c r="I17" s="25"/>
      <c r="J17" s="25"/>
      <c r="K17" s="25"/>
    </row>
    <row r="18" spans="1:11" x14ac:dyDescent="0.25">
      <c r="A18" s="25"/>
      <c r="B18" s="25"/>
      <c r="C18" s="25"/>
      <c r="D18" s="42">
        <v>1.6604999999999998E-27</v>
      </c>
      <c r="E18" s="25"/>
      <c r="F18" s="25"/>
      <c r="G18" s="25"/>
      <c r="H18" s="25"/>
      <c r="I18" s="25"/>
      <c r="J18" s="25"/>
      <c r="K18" s="25"/>
    </row>
    <row r="19" spans="1:11" x14ac:dyDescent="0.25">
      <c r="A19" s="25"/>
      <c r="B19" s="25"/>
      <c r="C19" s="42"/>
      <c r="D19" s="25" t="s">
        <v>33</v>
      </c>
      <c r="E19" s="25"/>
      <c r="F19" s="25"/>
      <c r="G19" s="25"/>
      <c r="H19" s="25"/>
      <c r="I19" s="25"/>
      <c r="J19" s="25"/>
      <c r="K19" s="25"/>
    </row>
    <row r="20" spans="1:1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5">
      <c r="A21" s="25"/>
      <c r="B21" s="25"/>
      <c r="C21" s="25"/>
      <c r="D21" s="25" t="s">
        <v>34</v>
      </c>
      <c r="E21" s="25"/>
      <c r="F21" s="25"/>
      <c r="G21" s="25"/>
      <c r="H21" s="25"/>
      <c r="I21" s="25"/>
      <c r="J21" s="25"/>
      <c r="K21" s="25"/>
    </row>
    <row r="22" spans="1:11" x14ac:dyDescent="0.25">
      <c r="A22" s="25"/>
      <c r="B22" s="25"/>
      <c r="C22" s="25"/>
      <c r="D22" s="25">
        <f>10^-9</f>
        <v>1.0000000000000001E-9</v>
      </c>
      <c r="E22" s="25"/>
      <c r="F22" s="25"/>
      <c r="G22" s="25"/>
      <c r="H22" s="25"/>
      <c r="I22" s="25"/>
      <c r="J22" s="25"/>
      <c r="K22" s="25"/>
    </row>
    <row r="23" spans="1:1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</sheetData>
  <mergeCells count="2">
    <mergeCell ref="A1:A2"/>
    <mergeCell ref="J1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EF20-B0B2-4AFD-ABBA-9842300ED4F5}">
  <dimension ref="A1:K33"/>
  <sheetViews>
    <sheetView tabSelected="1" workbookViewId="0">
      <selection activeCell="J5" sqref="J5"/>
    </sheetView>
  </sheetViews>
  <sheetFormatPr defaultRowHeight="15" x14ac:dyDescent="0.25"/>
  <cols>
    <col min="1" max="1" width="16.5703125" customWidth="1"/>
    <col min="7" max="7" width="17.42578125" customWidth="1"/>
    <col min="8" max="8" width="16.85546875" customWidth="1"/>
    <col min="9" max="9" width="14" customWidth="1"/>
  </cols>
  <sheetData>
    <row r="1" spans="1:11" x14ac:dyDescent="0.25">
      <c r="A1" s="53" t="s">
        <v>11</v>
      </c>
      <c r="B1" s="9" t="s">
        <v>5</v>
      </c>
      <c r="C1" s="10" t="s">
        <v>6</v>
      </c>
      <c r="D1" s="11" t="s">
        <v>7</v>
      </c>
      <c r="E1" s="9" t="s">
        <v>5</v>
      </c>
      <c r="F1" s="12" t="s">
        <v>9</v>
      </c>
      <c r="G1" s="13" t="s">
        <v>10</v>
      </c>
      <c r="H1" s="14" t="s">
        <v>14</v>
      </c>
      <c r="I1" s="14" t="s">
        <v>12</v>
      </c>
      <c r="J1" s="53" t="s">
        <v>20</v>
      </c>
      <c r="K1" s="25"/>
    </row>
    <row r="2" spans="1:11" ht="18.75" thickBot="1" x14ac:dyDescent="0.3">
      <c r="A2" s="54"/>
      <c r="B2" s="15" t="s">
        <v>4</v>
      </c>
      <c r="C2" s="16" t="s">
        <v>0</v>
      </c>
      <c r="D2" s="17" t="s">
        <v>8</v>
      </c>
      <c r="E2" s="15" t="s">
        <v>1</v>
      </c>
      <c r="F2" s="18" t="s">
        <v>23</v>
      </c>
      <c r="G2" s="19" t="s">
        <v>24</v>
      </c>
      <c r="H2" s="20" t="s">
        <v>25</v>
      </c>
      <c r="I2" s="20" t="s">
        <v>13</v>
      </c>
      <c r="J2" s="54"/>
      <c r="K2" s="25"/>
    </row>
    <row r="3" spans="1:11" x14ac:dyDescent="0.25">
      <c r="A3" s="6">
        <v>500</v>
      </c>
      <c r="B3" s="27">
        <v>61</v>
      </c>
      <c r="C3" s="28">
        <v>333</v>
      </c>
      <c r="D3" s="29">
        <v>10.7</v>
      </c>
      <c r="E3" s="46">
        <f>B3*$D$14</f>
        <v>6180825</v>
      </c>
      <c r="F3" s="30">
        <f>$A$13*$B$13*(D3)*$D$22</f>
        <v>3.745E-25</v>
      </c>
      <c r="G3" s="31">
        <f t="shared" ref="G3:G4" si="0">(E3*F3)/(A3*C3)</f>
        <v>1.3902215990990992E-23</v>
      </c>
      <c r="H3" s="32">
        <f>1.5*G3*C3</f>
        <v>6.9441568874999996E-21</v>
      </c>
      <c r="I3" s="32">
        <f>G3*$G$15</f>
        <v>8.3691340265765781</v>
      </c>
      <c r="J3" s="6" t="s">
        <v>21</v>
      </c>
      <c r="K3" s="25"/>
    </row>
    <row r="4" spans="1:11" x14ac:dyDescent="0.25">
      <c r="A4" s="4">
        <v>500</v>
      </c>
      <c r="B4" s="27">
        <v>61</v>
      </c>
      <c r="C4" s="28">
        <v>333</v>
      </c>
      <c r="D4" s="35">
        <v>10.7</v>
      </c>
      <c r="E4" s="46">
        <f>B4*$D$14</f>
        <v>6180825</v>
      </c>
      <c r="F4" s="30">
        <f>$A$13*$B$13*(D4)*$D$22</f>
        <v>3.745E-25</v>
      </c>
      <c r="G4" s="31">
        <f t="shared" ref="G4" si="1">(E4*F4)/(A4*C4)</f>
        <v>1.3902215990990992E-23</v>
      </c>
      <c r="H4" s="32">
        <f>1.5*G4*C4</f>
        <v>6.9441568874999996E-21</v>
      </c>
      <c r="I4" s="32">
        <f>G4*$G$15</f>
        <v>8.3691340265765781</v>
      </c>
      <c r="J4" s="6" t="s">
        <v>36</v>
      </c>
      <c r="K4" s="25"/>
    </row>
    <row r="5" spans="1:11" x14ac:dyDescent="0.25">
      <c r="A5" s="4"/>
      <c r="B5" s="27"/>
      <c r="C5" s="28"/>
      <c r="D5" s="35"/>
      <c r="E5" s="46"/>
      <c r="F5" s="30"/>
      <c r="G5" s="31"/>
      <c r="H5" s="32"/>
      <c r="I5" s="32"/>
      <c r="J5" s="6" t="s">
        <v>21</v>
      </c>
      <c r="K5" s="25"/>
    </row>
    <row r="6" spans="1:11" x14ac:dyDescent="0.25">
      <c r="A6" s="4"/>
      <c r="B6" s="27"/>
      <c r="C6" s="28"/>
      <c r="D6" s="35"/>
      <c r="E6" s="46"/>
      <c r="F6" s="30"/>
      <c r="G6" s="31"/>
      <c r="H6" s="32"/>
      <c r="I6" s="32"/>
      <c r="J6" s="6" t="s">
        <v>21</v>
      </c>
      <c r="K6" s="25"/>
    </row>
    <row r="7" spans="1:11" x14ac:dyDescent="0.25">
      <c r="A7" s="4"/>
      <c r="B7" s="27"/>
      <c r="C7" s="28"/>
      <c r="D7" s="35"/>
      <c r="E7" s="46"/>
      <c r="F7" s="30"/>
      <c r="G7" s="31"/>
      <c r="H7" s="32"/>
      <c r="I7" s="32"/>
      <c r="J7" s="6" t="s">
        <v>21</v>
      </c>
      <c r="K7" s="25"/>
    </row>
    <row r="8" spans="1:11" x14ac:dyDescent="0.25">
      <c r="A8" s="4"/>
      <c r="B8" s="27"/>
      <c r="C8" s="28"/>
      <c r="D8" s="35"/>
      <c r="E8" s="46"/>
      <c r="F8" s="30"/>
      <c r="G8" s="31"/>
      <c r="H8" s="32"/>
      <c r="I8" s="32"/>
      <c r="J8" s="6" t="s">
        <v>21</v>
      </c>
      <c r="K8" s="25"/>
    </row>
    <row r="9" spans="1:11" ht="15.75" thickBot="1" x14ac:dyDescent="0.3">
      <c r="A9" s="5"/>
      <c r="B9" s="15"/>
      <c r="C9" s="16"/>
      <c r="D9" s="17"/>
      <c r="E9" s="15"/>
      <c r="F9" s="18"/>
      <c r="G9" s="39"/>
      <c r="H9" s="20"/>
      <c r="I9" s="20"/>
      <c r="J9" s="5"/>
      <c r="K9" s="25"/>
    </row>
    <row r="10" spans="1:1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</row>
    <row r="11" spans="1:1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</row>
    <row r="12" spans="1:11" x14ac:dyDescent="0.25">
      <c r="A12" s="8" t="s">
        <v>2</v>
      </c>
      <c r="B12" s="8" t="s">
        <v>3</v>
      </c>
      <c r="C12" s="8"/>
      <c r="D12" s="23" t="s">
        <v>29</v>
      </c>
      <c r="E12" s="8"/>
      <c r="F12" s="22" t="s">
        <v>22</v>
      </c>
      <c r="G12" s="25"/>
      <c r="H12" s="25"/>
      <c r="I12" s="25"/>
      <c r="J12" s="25"/>
      <c r="K12" s="25"/>
    </row>
    <row r="13" spans="1:11" ht="18" x14ac:dyDescent="0.25">
      <c r="A13" s="42">
        <v>4.0000000000000002E-9</v>
      </c>
      <c r="B13" s="42">
        <v>8.7500000000000006E-9</v>
      </c>
      <c r="C13" s="42"/>
      <c r="D13" s="43" t="s">
        <v>30</v>
      </c>
      <c r="E13" s="42"/>
      <c r="F13" s="21" t="s">
        <v>27</v>
      </c>
      <c r="G13" s="42">
        <v>1.3800000000000001E-23</v>
      </c>
      <c r="H13" s="25"/>
      <c r="I13" s="25"/>
      <c r="J13" s="25"/>
      <c r="K13" s="25"/>
    </row>
    <row r="14" spans="1:11" x14ac:dyDescent="0.25">
      <c r="A14" s="25"/>
      <c r="B14" s="25"/>
      <c r="C14" s="25"/>
      <c r="D14" s="44">
        <v>101325</v>
      </c>
      <c r="E14" s="25"/>
      <c r="F14" s="21" t="s">
        <v>13</v>
      </c>
      <c r="G14" s="42">
        <v>8.31</v>
      </c>
      <c r="H14" s="25"/>
      <c r="I14" s="25"/>
      <c r="J14" s="25"/>
      <c r="K14" s="25"/>
    </row>
    <row r="15" spans="1:11" ht="18" x14ac:dyDescent="0.25">
      <c r="A15" s="8" t="s">
        <v>26</v>
      </c>
      <c r="B15" s="42">
        <f>A13*B13</f>
        <v>3.5000000000000002E-17</v>
      </c>
      <c r="C15" s="42"/>
      <c r="D15" s="42" t="s">
        <v>31</v>
      </c>
      <c r="E15" s="42"/>
      <c r="F15" s="21" t="s">
        <v>28</v>
      </c>
      <c r="G15" s="42">
        <v>6.02E+23</v>
      </c>
      <c r="H15" s="25"/>
      <c r="I15" s="25"/>
      <c r="J15" s="25"/>
      <c r="K15" s="25"/>
    </row>
    <row r="16" spans="1:1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x14ac:dyDescent="0.25">
      <c r="A17" s="25"/>
      <c r="B17" s="25"/>
      <c r="C17" s="25"/>
      <c r="D17" s="25" t="s">
        <v>32</v>
      </c>
      <c r="E17" s="25"/>
      <c r="F17" s="25"/>
      <c r="G17" s="25"/>
      <c r="H17" s="25"/>
      <c r="I17" s="25"/>
      <c r="J17" s="25"/>
      <c r="K17" s="25"/>
    </row>
    <row r="18" spans="1:11" x14ac:dyDescent="0.25">
      <c r="A18" s="25"/>
      <c r="B18" s="25"/>
      <c r="C18" s="25"/>
      <c r="D18" s="42">
        <v>1.6604999999999998E-27</v>
      </c>
      <c r="E18" s="25"/>
      <c r="F18" s="25"/>
      <c r="G18" s="25"/>
      <c r="H18" s="25"/>
      <c r="I18" s="25"/>
      <c r="J18" s="25"/>
      <c r="K18" s="25"/>
    </row>
    <row r="19" spans="1:11" x14ac:dyDescent="0.25">
      <c r="A19" s="25"/>
      <c r="B19" s="25"/>
      <c r="C19" s="42"/>
      <c r="D19" s="25" t="s">
        <v>33</v>
      </c>
      <c r="E19" s="25"/>
      <c r="F19" s="25"/>
      <c r="G19" s="25"/>
      <c r="H19" s="25"/>
      <c r="I19" s="25"/>
      <c r="J19" s="25"/>
      <c r="K19" s="25"/>
    </row>
    <row r="20" spans="1:1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5">
      <c r="A21" s="25"/>
      <c r="B21" s="25"/>
      <c r="C21" s="25"/>
      <c r="D21" s="25" t="s">
        <v>34</v>
      </c>
      <c r="E21" s="25"/>
      <c r="F21" s="25"/>
      <c r="G21" s="25"/>
      <c r="H21" s="25"/>
      <c r="I21" s="25"/>
      <c r="J21" s="25"/>
      <c r="K21" s="25"/>
    </row>
    <row r="22" spans="1:11" x14ac:dyDescent="0.25">
      <c r="A22" s="25"/>
      <c r="B22" s="25"/>
      <c r="C22" s="25"/>
      <c r="D22" s="25">
        <f>10^-9</f>
        <v>1.0000000000000001E-9</v>
      </c>
      <c r="E22" s="25"/>
      <c r="F22" s="25"/>
      <c r="G22" s="25"/>
      <c r="H22" s="25"/>
      <c r="I22" s="25"/>
      <c r="J22" s="25"/>
      <c r="K22" s="25"/>
    </row>
    <row r="23" spans="1:1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</sheetData>
  <mergeCells count="2">
    <mergeCell ref="A1:A2"/>
    <mergeCell ref="J1:J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Heavy (Blue)</vt:lpstr>
      <vt:lpstr>Light (Red)</vt:lpstr>
      <vt:lpstr>Exp 02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Benjamin Giftakis</cp:lastModifiedBy>
  <dcterms:created xsi:type="dcterms:W3CDTF">2006-09-16T00:00:00Z</dcterms:created>
  <dcterms:modified xsi:type="dcterms:W3CDTF">2020-07-28T20:57:05Z</dcterms:modified>
</cp:coreProperties>
</file>